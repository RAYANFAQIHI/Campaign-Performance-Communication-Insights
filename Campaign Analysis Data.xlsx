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yan\Downloads\Rhythm  Company\New folder\"/>
    </mc:Choice>
  </mc:AlternateContent>
  <xr:revisionPtr revIDLastSave="0" documentId="8_{FAEE44FA-9C0C-4C42-898F-80E1F7FE1D8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ampaign_Performance" sheetId="2" r:id="rId1"/>
    <sheet name="Audience_Segments" sheetId="3" r:id="rId2"/>
    <sheet name="Survey_Results" sheetId="4" r:id="rId3"/>
    <sheet name="Feedback_Log" sheetId="5" r:id="rId4"/>
    <sheet name="Benchmarks" sheetId="6" r:id="rId5"/>
    <sheet name="Data_Dictionary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B9" i="6"/>
  <c r="B8" i="6"/>
  <c r="B6" i="6"/>
  <c r="B5" i="6"/>
  <c r="B4" i="6"/>
  <c r="B3" i="6"/>
</calcChain>
</file>

<file path=xl/sharedStrings.xml><?xml version="1.0" encoding="utf-8"?>
<sst xmlns="http://schemas.openxmlformats.org/spreadsheetml/2006/main" count="2615" uniqueCount="190">
  <si>
    <t>Date</t>
  </si>
  <si>
    <t>Week</t>
  </si>
  <si>
    <t>Channel</t>
  </si>
  <si>
    <t>Audience Segment</t>
  </si>
  <si>
    <t>Region</t>
  </si>
  <si>
    <t>Message Type</t>
  </si>
  <si>
    <t>Impressions/Reach</t>
  </si>
  <si>
    <t>Engagements</t>
  </si>
  <si>
    <t>Clicks</t>
  </si>
  <si>
    <t>Registrations</t>
  </si>
  <si>
    <t>Spend SAR</t>
  </si>
  <si>
    <t>CTR</t>
  </si>
  <si>
    <t>Engagement Rate</t>
  </si>
  <si>
    <t>Conversion Rate</t>
  </si>
  <si>
    <t>Cost per Registration</t>
  </si>
  <si>
    <t>W1</t>
  </si>
  <si>
    <t>Email</t>
  </si>
  <si>
    <t>Employees</t>
  </si>
  <si>
    <t>Riyadh</t>
  </si>
  <si>
    <t>How-to guide</t>
  </si>
  <si>
    <t>WhatsApp/SMS</t>
  </si>
  <si>
    <t>Partners</t>
  </si>
  <si>
    <t>Feature-led</t>
  </si>
  <si>
    <t>LinkedIn</t>
  </si>
  <si>
    <t>X/Twitter</t>
  </si>
  <si>
    <t>Customers</t>
  </si>
  <si>
    <t>Dammam</t>
  </si>
  <si>
    <t>Jeddah</t>
  </si>
  <si>
    <t>Leadership endorsement</t>
  </si>
  <si>
    <t>Remote/Online</t>
  </si>
  <si>
    <t>Deadline reminder</t>
  </si>
  <si>
    <t>Instagram</t>
  </si>
  <si>
    <t>Media</t>
  </si>
  <si>
    <t>Website Banner</t>
  </si>
  <si>
    <t>Benefit-led</t>
  </si>
  <si>
    <t>Government Stakeholders</t>
  </si>
  <si>
    <t>Internal Event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</si>
  <si>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</si>
  <si>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</si>
  <si>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</si>
  <si>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</si>
  <si>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</si>
  <si>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</si>
  <si>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</si>
  <si>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</si>
  <si>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</si>
  <si>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</si>
  <si>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</si>
  <si>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</si>
  <si>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Estimated Audience Size</t>
  </si>
  <si>
    <t>Current Awareness %</t>
  </si>
  <si>
    <t>Message Clarity Score /5</t>
  </si>
  <si>
    <t>Trust Score /5</t>
  </si>
  <si>
    <t>Preferred Channel</t>
  </si>
  <si>
    <t>Top Need</t>
  </si>
  <si>
    <t>Main Barrier</t>
  </si>
  <si>
    <t>Priority</t>
  </si>
  <si>
    <t>Email / Internal Event</t>
  </si>
  <si>
    <t>Understand how to explain the service</t>
  </si>
  <si>
    <t>Too many internal messages</t>
  </si>
  <si>
    <t>High</t>
  </si>
  <si>
    <t>Instagram / WhatsApp</t>
  </si>
  <si>
    <t>Simple benefit and how to register</t>
  </si>
  <si>
    <t>Unclear value proposition</t>
  </si>
  <si>
    <t>LinkedIn / Email</t>
  </si>
  <si>
    <t>Use cases and integration details</t>
  </si>
  <si>
    <t>Need more proof points</t>
  </si>
  <si>
    <t>Medium</t>
  </si>
  <si>
    <t>Briefings / LinkedIn</t>
  </si>
  <si>
    <t>Policy relevance and outcomes</t>
  </si>
  <si>
    <t>Message too operational</t>
  </si>
  <si>
    <t>Press kit / X</t>
  </si>
  <si>
    <t>Clear story angle and facts</t>
  </si>
  <si>
    <t>No ready media narrative</t>
  </si>
  <si>
    <t>Question</t>
  </si>
  <si>
    <t>Answer Option</t>
  </si>
  <si>
    <t>Responses</t>
  </si>
  <si>
    <t>Response Share</t>
  </si>
  <si>
    <t>Q1: Have you heard about the new service?</t>
  </si>
  <si>
    <t>Yes</t>
  </si>
  <si>
    <t>No</t>
  </si>
  <si>
    <t>Not sure</t>
  </si>
  <si>
    <t>Q2: How clear was the campaign message?</t>
  </si>
  <si>
    <t>Very clear</t>
  </si>
  <si>
    <t>Somewhat clear</t>
  </si>
  <si>
    <t>Neutral</t>
  </si>
  <si>
    <t>Unclear</t>
  </si>
  <si>
    <t>Very unclear</t>
  </si>
  <si>
    <t>Q3: Which channel did you notice first?</t>
  </si>
  <si>
    <t>Website</t>
  </si>
  <si>
    <t>Event</t>
  </si>
  <si>
    <t>Q4: What is the biggest barrier to using the service?</t>
  </si>
  <si>
    <t>I do not understand the benefit</t>
  </si>
  <si>
    <t>I do not know how to register</t>
  </si>
  <si>
    <t>I do not trust the process</t>
  </si>
  <si>
    <t>I need approval from someone else</t>
  </si>
  <si>
    <t>No need currently</t>
  </si>
  <si>
    <t>Q5: After seeing the campaign, how likely are you to use/register?</t>
  </si>
  <si>
    <t>Very likely</t>
  </si>
  <si>
    <t>Likely</t>
  </si>
  <si>
    <t>Unlikely</t>
  </si>
  <si>
    <t>Very unlikely</t>
  </si>
  <si>
    <t>Source</t>
  </si>
  <si>
    <t>Category</t>
  </si>
  <si>
    <t>Sentiment</t>
  </si>
  <si>
    <t>Feedback Text</t>
  </si>
  <si>
    <t>Suggested Coding Notes</t>
  </si>
  <si>
    <t>Feature question</t>
  </si>
  <si>
    <t>هل الخدمة مجانية؟</t>
  </si>
  <si>
    <t>Need detailed product content</t>
  </si>
  <si>
    <t>Call Center</t>
  </si>
  <si>
    <t>Praise</t>
  </si>
  <si>
    <t>Positive</t>
  </si>
  <si>
    <t>الفكرة ممتازة وتختصر وقت كبير</t>
  </si>
  <si>
    <t>Proof point/testimonial</t>
  </si>
  <si>
    <t>Confusing message</t>
  </si>
  <si>
    <t>Negative</t>
  </si>
  <si>
    <t>المصطلحات تقنية جدًا</t>
  </si>
  <si>
    <t>Message clarity issue</t>
  </si>
  <si>
    <t>Email Reply</t>
  </si>
  <si>
    <t>Registration issue</t>
  </si>
  <si>
    <t>النموذج لا يحفظ البيانات</t>
  </si>
  <si>
    <t>Conversion friction</t>
  </si>
  <si>
    <t>Website Form</t>
  </si>
  <si>
    <t>Clarification request</t>
  </si>
  <si>
    <t>هل الخدمة متاحة خارج الرياض؟</t>
  </si>
  <si>
    <t>Potential FAQ gap</t>
  </si>
  <si>
    <t>هل الخدمة للأفراد أم للمنشآت؟</t>
  </si>
  <si>
    <t>Media inquiry</t>
  </si>
  <si>
    <t>هل يمكن تزويدنا بملف صحفي؟</t>
  </si>
  <si>
    <t>Press material gap</t>
  </si>
  <si>
    <t>أين أجد خطوات التسجيل؟</t>
  </si>
  <si>
    <t>لا أعرف أين أرفع المستندات</t>
  </si>
  <si>
    <t>لم تصلني رسالة التحقق</t>
  </si>
  <si>
    <t>Complaint</t>
  </si>
  <si>
    <t>التسجيل طويل وغير واضح</t>
  </si>
  <si>
    <t>Experience/process issue</t>
  </si>
  <si>
    <t>هل يوجد متحدث متاح؟</t>
  </si>
  <si>
    <t>Event Q&amp;A</t>
  </si>
  <si>
    <t>الشرح في الفعالية كان واضح</t>
  </si>
  <si>
    <t>هل يوجد تكامل مع الأنظمة الحالية؟</t>
  </si>
  <si>
    <t>لم أفهم الفرق بين الخدمة الحالية والجديدة</t>
  </si>
  <si>
    <t>الرابط لا يعمل معي</t>
  </si>
  <si>
    <t>الرسالة تتكلم عن مزايا كثيرة بدون توضيح</t>
  </si>
  <si>
    <t>نحتاج أرقامًا رسمية للنشر</t>
  </si>
  <si>
    <t>وصلتني الرسالة أكثر من مرة</t>
  </si>
  <si>
    <t>هل يمكن تتبع حالة الطلب؟</t>
  </si>
  <si>
    <t>Metric</t>
  </si>
  <si>
    <t>Campaign Actual</t>
  </si>
  <si>
    <t>Previous Internal Campaign</t>
  </si>
  <si>
    <t>Sector Benchmark - Low</t>
  </si>
  <si>
    <t>Sector Benchmark - Good</t>
  </si>
  <si>
    <t>Notes</t>
  </si>
  <si>
    <t>Awareness among total audience</t>
  </si>
  <si>
    <t>Survey based; sample is mixed and may not represent all segments</t>
  </si>
  <si>
    <t>Average CTR</t>
  </si>
  <si>
    <t>Candidate should calculate from Campaign_Performance</t>
  </si>
  <si>
    <t>Average Engagement Rate</t>
  </si>
  <si>
    <t>Overall Conversion Rate</t>
  </si>
  <si>
    <t>Candidate should calculate registrations/clicks</t>
  </si>
  <si>
    <t>Cost per Registration SAR</t>
  </si>
  <si>
    <t>Lower is better; missing spend rows exist</t>
  </si>
  <si>
    <t>From survey + stakeholder interviews</t>
  </si>
  <si>
    <t>Negative Feedback Share</t>
  </si>
  <si>
    <t>Candidate should calculate from Feedback_Log</t>
  </si>
  <si>
    <t>LinkedIn Conversion Rate</t>
  </si>
  <si>
    <t>Useful for B2B/stakeholder audience</t>
  </si>
  <si>
    <t>Instagram Conversion Rate</t>
  </si>
  <si>
    <t>High reach may not equal impact</t>
  </si>
  <si>
    <t>Sheet</t>
  </si>
  <si>
    <t>Field</t>
  </si>
  <si>
    <t>Definition / Notes</t>
  </si>
  <si>
    <t>Campaign_Performance</t>
  </si>
  <si>
    <t>Estimated number of people/accounts reached by channel/day</t>
  </si>
  <si>
    <t>Likes, comments, shares, replies, or equivalent interactions</t>
  </si>
  <si>
    <t>Clicks to landing page or registration page</t>
  </si>
  <si>
    <t>Completed registrations/applications; some rows intentionally missing</t>
  </si>
  <si>
    <t>Estimated spend or production/activation cost; some rows intentionally missing</t>
  </si>
  <si>
    <t>Clicks divided by reach</t>
  </si>
  <si>
    <t>Registrations divided by clicks</t>
  </si>
  <si>
    <t>Audience_Segments</t>
  </si>
  <si>
    <t>Awareness %</t>
  </si>
  <si>
    <t>Estimated awareness from survey/interviews</t>
  </si>
  <si>
    <t>Survey_Results</t>
  </si>
  <si>
    <t>Option responses divided by total responses per question</t>
  </si>
  <si>
    <t>Feedback_Log</t>
  </si>
  <si>
    <t>Manual sentiment coding</t>
  </si>
  <si>
    <t>Benchmarks</t>
  </si>
  <si>
    <t>Sector Benchmark</t>
  </si>
  <si>
    <t>Illustrative benchmark, not an external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</si>
</sst>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9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PerformanceTable" displayName="CampaignPerformanceTable" ref="A1:O346">
  <tableColumns count="15">
    <tableColumn id="1" xr3:uid="{00000000-0010-0000-0000-000001000000}" name="Date"/>
    <tableColumn id="2" xr3:uid="{00000000-0010-0000-0000-000002000000}" name="Week"/>
    <tableColumn id="3" xr3:uid="{00000000-0010-0000-0000-000003000000}" name="Channel"/>
    <tableColumn id="4" xr3:uid="{00000000-0010-0000-0000-000004000000}" name="Audience Segment"/>
    <tableColumn id="5" xr3:uid="{00000000-0010-0000-0000-000005000000}" name="Region"/>
    <tableColumn id="6" xr3:uid="{00000000-0010-0000-0000-000006000000}" name="Message Type"/>
    <tableColumn id="7" xr3:uid="{00000000-0010-0000-0000-000007000000}" name="Impressions/Reach"/>
    <tableColumn id="8" xr3:uid="{00000000-0010-0000-0000-000008000000}" name="Engagements"/>
    <tableColumn id="9" xr3:uid="{00000000-0010-0000-0000-000009000000}" name="Clicks"/>
    <tableColumn id="10" xr3:uid="{00000000-0010-0000-0000-00000A000000}" name="Registrations"/>
    <tableColumn id="11" xr3:uid="{00000000-0010-0000-0000-00000B000000}" name="Spend SAR"/>
    <tableColumn id="12" xr3:uid="{00000000-0010-0000-0000-00000C000000}" name="CTR"/>
    <tableColumn id="13" xr3:uid="{00000000-0010-0000-0000-00000D000000}" name="Engagement Rate"/>
    <tableColumn id="14" xr3:uid="{00000000-0010-0000-0000-00000E000000}" name="Conversion Rate"/>
    <tableColumn id="15" xr3:uid="{00000000-0010-0000-0000-00000F000000}" name="Cost per Regist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enceSegmentsTable" displayName="AudienceSegmentsTable" ref="A1:I6">
  <tableColumns count="9">
    <tableColumn id="1" xr3:uid="{00000000-0010-0000-0100-000001000000}" name="Audience Segment"/>
    <tableColumn id="2" xr3:uid="{00000000-0010-0000-0100-000002000000}" name="Estimated Audience Size"/>
    <tableColumn id="3" xr3:uid="{00000000-0010-0000-0100-000003000000}" name="Current Awareness %"/>
    <tableColumn id="4" xr3:uid="{00000000-0010-0000-0100-000004000000}" name="Message Clarity Score /5"/>
    <tableColumn id="5" xr3:uid="{00000000-0010-0000-0100-000005000000}" name="Trust Score /5"/>
    <tableColumn id="6" xr3:uid="{00000000-0010-0000-0100-000006000000}" name="Preferred Channel"/>
    <tableColumn id="7" xr3:uid="{00000000-0010-0000-0100-000007000000}" name="Top Need"/>
    <tableColumn id="8" xr3:uid="{00000000-0010-0000-0100-000008000000}" name="Main Barrier"/>
    <tableColumn id="9" xr3:uid="{00000000-0010-0000-0100-000009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rveyResultsTable" displayName="SurveyResultsTable" ref="A1:D26">
  <tableColumns count="4">
    <tableColumn id="1" xr3:uid="{00000000-0010-0000-0200-000001000000}" name="Question"/>
    <tableColumn id="2" xr3:uid="{00000000-0010-0000-0200-000002000000}" name="Answer Option"/>
    <tableColumn id="3" xr3:uid="{00000000-0010-0000-0200-000003000000}" name="Responses"/>
    <tableColumn id="4" xr3:uid="{00000000-0010-0000-0200-000004000000}" name="Response Sh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eedbackLogTable" displayName="FeedbackLogTable" ref="A1:G121">
  <tableColumns count="7">
    <tableColumn id="1" xr3:uid="{00000000-0010-0000-0300-000001000000}" name="Date"/>
    <tableColumn id="2" xr3:uid="{00000000-0010-0000-0300-000002000000}" name="Source"/>
    <tableColumn id="3" xr3:uid="{00000000-0010-0000-0300-000003000000}" name="Audience Segment"/>
    <tableColumn id="4" xr3:uid="{00000000-0010-0000-0300-000004000000}" name="Category"/>
    <tableColumn id="5" xr3:uid="{00000000-0010-0000-0300-000005000000}" name="Sentiment"/>
    <tableColumn id="6" xr3:uid="{00000000-0010-0000-0300-000006000000}" name="Feedback Text"/>
    <tableColumn id="7" xr3:uid="{00000000-0010-0000-0300-000007000000}" name="Suggested Coding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enchmarksTable" displayName="BenchmarksTable" ref="A1:F10">
  <tableColumns count="6">
    <tableColumn id="1" xr3:uid="{00000000-0010-0000-0400-000001000000}" name="Metric"/>
    <tableColumn id="2" xr3:uid="{00000000-0010-0000-0400-000002000000}" name="Campaign Actual"/>
    <tableColumn id="3" xr3:uid="{00000000-0010-0000-0400-000003000000}" name="Previous Internal Campaign"/>
    <tableColumn id="4" xr3:uid="{00000000-0010-0000-0400-000004000000}" name="Sector Benchmark - Low"/>
    <tableColumn id="5" xr3:uid="{00000000-0010-0000-0400-000005000000}" name="Sector Benchmark - Good"/>
    <tableColumn id="6" xr3:uid="{00000000-0010-0000-0400-000006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Table" displayName="DataDictionaryTable" ref="A1:C12">
  <tableColumns count="3">
    <tableColumn id="1" xr3:uid="{00000000-0010-0000-0500-000001000000}" name="Sheet"/>
    <tableColumn id="2" xr3:uid="{00000000-0010-0000-0500-000002000000}" name="Field"/>
    <tableColumn id="3" xr3:uid="{00000000-0010-0000-0500-000003000000}" name="Definition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6"/>
  <sheetViews>
    <sheetView tabSelected="1" workbookViewId="0">
      <selection activeCell="B1" sqref="B1"/>
    </sheetView>
  </sheetViews>
  <sheetFormatPr defaultColWidth="8.8125" defaultRowHeight="13.5"/>
  <cols>
    <col min="1" max="1" width="6.5" customWidth="1"/>
    <col min="2" max="2" width="7.3125" customWidth="1"/>
    <col min="3" max="3" width="12.6875" customWidth="1"/>
    <col min="4" max="6" width="22" customWidth="1"/>
    <col min="7" max="7" width="18.1875" customWidth="1"/>
    <col min="8" max="8" width="13.6875" customWidth="1"/>
    <col min="9" max="9" width="7.1875" customWidth="1"/>
    <col min="10" max="10" width="13.1875" customWidth="1"/>
    <col min="11" max="11" width="11.5" customWidth="1"/>
    <col min="12" max="12" width="10.3125" customWidth="1"/>
    <col min="13" max="13" width="17" customWidth="1"/>
    <col min="14" max="14" width="15.8125" customWidth="1"/>
    <col min="15" max="15" width="19.6875" customWidth="1"/>
  </cols>
  <sheetData>
    <row r="1" spans="1:15" ht="13.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>
      <c r="A2">
        <v>46023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981</v>
      </c>
      <c r="H2">
        <v>132</v>
      </c>
      <c r="I2">
        <v>41</v>
      </c>
      <c r="J2">
        <v>5</v>
      </c>
      <c r="K2">
        <v>1037</v>
      </c>
      <c r="L2">
        <v>4.1794087665647302E-2</v>
      </c>
      <c r="M2">
        <v>0.13455657492354739</v>
      </c>
      <c r="N2">
        <v>0.12195121951219512</v>
      </c>
      <c r="O2">
        <v>207.4</v>
      </c>
    </row>
    <row r="3" spans="1:15">
      <c r="A3">
        <v>46023</v>
      </c>
      <c r="B3" t="s">
        <v>15</v>
      </c>
      <c r="C3" t="s">
        <v>20</v>
      </c>
      <c r="D3" t="s">
        <v>21</v>
      </c>
      <c r="E3" t="s">
        <v>18</v>
      </c>
      <c r="F3" t="s">
        <v>22</v>
      </c>
      <c r="G3">
        <v>1052</v>
      </c>
      <c r="H3">
        <v>123</v>
      </c>
      <c r="I3">
        <v>72</v>
      </c>
      <c r="J3">
        <v>6</v>
      </c>
      <c r="K3">
        <v>880</v>
      </c>
      <c r="L3">
        <v>6.8441064638783272E-2</v>
      </c>
      <c r="M3">
        <v>0.11692015209125475</v>
      </c>
      <c r="N3">
        <v>8.3333333333333329E-2</v>
      </c>
      <c r="O3">
        <v>146.66666666666666</v>
      </c>
    </row>
    <row r="4" spans="1:15">
      <c r="A4">
        <v>46023</v>
      </c>
      <c r="B4" t="s">
        <v>15</v>
      </c>
      <c r="C4" t="s">
        <v>23</v>
      </c>
      <c r="D4" t="s">
        <v>17</v>
      </c>
      <c r="E4" t="s">
        <v>18</v>
      </c>
      <c r="F4" t="s">
        <v>22</v>
      </c>
      <c r="G4">
        <v>970</v>
      </c>
      <c r="H4">
        <v>69</v>
      </c>
      <c r="I4">
        <v>28</v>
      </c>
      <c r="J4">
        <v>3</v>
      </c>
      <c r="K4">
        <v>3588</v>
      </c>
      <c r="L4">
        <v>2.88659793814433E-2</v>
      </c>
      <c r="M4">
        <v>7.1134020618556698E-2</v>
      </c>
      <c r="N4">
        <v>0.10714285714285714</v>
      </c>
      <c r="O4">
        <v>1196</v>
      </c>
    </row>
    <row r="5" spans="1:15">
      <c r="A5">
        <v>46023</v>
      </c>
      <c r="B5" t="s">
        <v>15</v>
      </c>
      <c r="C5" t="s">
        <v>24</v>
      </c>
      <c r="D5" t="s">
        <v>25</v>
      </c>
      <c r="E5" t="s">
        <v>26</v>
      </c>
      <c r="F5" t="s">
        <v>22</v>
      </c>
      <c r="G5">
        <v>2275</v>
      </c>
      <c r="H5">
        <v>54</v>
      </c>
      <c r="I5">
        <v>36</v>
      </c>
      <c r="J5">
        <v>1</v>
      </c>
      <c r="K5">
        <v>1848</v>
      </c>
      <c r="L5">
        <v>1.5824175824175824E-2</v>
      </c>
      <c r="M5">
        <v>2.3736263736263738E-2</v>
      </c>
      <c r="N5">
        <v>2.7777777777777776E-2</v>
      </c>
      <c r="O5">
        <v>1848</v>
      </c>
    </row>
    <row r="6" spans="1:15">
      <c r="A6">
        <v>46024</v>
      </c>
      <c r="B6" t="s">
        <v>15</v>
      </c>
      <c r="C6" t="s">
        <v>20</v>
      </c>
      <c r="D6" t="s">
        <v>25</v>
      </c>
      <c r="E6" t="s">
        <v>27</v>
      </c>
      <c r="F6" t="s">
        <v>19</v>
      </c>
      <c r="G6">
        <v>1063</v>
      </c>
      <c r="H6">
        <v>190</v>
      </c>
      <c r="I6">
        <v>45</v>
      </c>
      <c r="J6">
        <v>2</v>
      </c>
      <c r="K6">
        <v>814</v>
      </c>
      <c r="L6">
        <v>4.2333019755409221E-2</v>
      </c>
      <c r="M6">
        <v>0.17873941674506114</v>
      </c>
      <c r="N6">
        <v>4.4444444444444446E-2</v>
      </c>
      <c r="O6">
        <v>407</v>
      </c>
    </row>
    <row r="7" spans="1:15">
      <c r="A7">
        <v>46024</v>
      </c>
      <c r="B7" t="s">
        <v>15</v>
      </c>
      <c r="C7" t="s">
        <v>16</v>
      </c>
      <c r="D7" t="s">
        <v>25</v>
      </c>
      <c r="E7" t="s">
        <v>27</v>
      </c>
      <c r="F7" t="s">
        <v>22</v>
      </c>
      <c r="G7">
        <v>1201</v>
      </c>
      <c r="H7">
        <v>133</v>
      </c>
      <c r="I7">
        <v>35</v>
      </c>
      <c r="J7">
        <v>3</v>
      </c>
      <c r="K7">
        <v>747</v>
      </c>
      <c r="L7">
        <v>2.9142381348875937E-2</v>
      </c>
      <c r="M7">
        <v>0.11074104912572856</v>
      </c>
      <c r="N7">
        <v>8.5714285714285715E-2</v>
      </c>
      <c r="O7">
        <v>249</v>
      </c>
    </row>
    <row r="8" spans="1:15">
      <c r="A8">
        <v>46024</v>
      </c>
      <c r="B8" t="s">
        <v>15</v>
      </c>
      <c r="C8" t="s">
        <v>24</v>
      </c>
      <c r="D8" t="s">
        <v>25</v>
      </c>
      <c r="E8" t="s">
        <v>18</v>
      </c>
      <c r="F8" t="s">
        <v>28</v>
      </c>
      <c r="G8">
        <v>3399</v>
      </c>
      <c r="H8">
        <v>61</v>
      </c>
      <c r="I8">
        <v>37</v>
      </c>
      <c r="J8">
        <v>0</v>
      </c>
      <c r="K8">
        <v>1768</v>
      </c>
      <c r="L8">
        <v>1.0885554574874964E-2</v>
      </c>
      <c r="M8">
        <v>1.7946454839658722E-2</v>
      </c>
      <c r="N8">
        <v>0</v>
      </c>
    </row>
    <row r="9" spans="1:15">
      <c r="A9">
        <v>46024</v>
      </c>
      <c r="B9" t="s">
        <v>15</v>
      </c>
      <c r="C9" t="s">
        <v>23</v>
      </c>
      <c r="D9" t="s">
        <v>25</v>
      </c>
      <c r="E9" t="s">
        <v>29</v>
      </c>
      <c r="F9" t="s">
        <v>30</v>
      </c>
      <c r="G9">
        <v>2638</v>
      </c>
      <c r="H9">
        <v>282</v>
      </c>
      <c r="I9">
        <v>72</v>
      </c>
      <c r="J9">
        <v>9</v>
      </c>
      <c r="K9">
        <v>2687</v>
      </c>
      <c r="L9">
        <v>2.7293404094010616E-2</v>
      </c>
      <c r="M9">
        <v>0.1068991660348749</v>
      </c>
      <c r="N9">
        <v>0.125</v>
      </c>
      <c r="O9">
        <v>298.55555555555554</v>
      </c>
    </row>
    <row r="10" spans="1:15">
      <c r="A10">
        <v>46025</v>
      </c>
      <c r="B10" t="s">
        <v>15</v>
      </c>
      <c r="C10" t="s">
        <v>23</v>
      </c>
      <c r="D10" t="s">
        <v>25</v>
      </c>
      <c r="E10" t="s">
        <v>29</v>
      </c>
      <c r="F10" t="s">
        <v>19</v>
      </c>
      <c r="G10">
        <v>1072</v>
      </c>
      <c r="H10">
        <v>134</v>
      </c>
      <c r="I10">
        <v>37</v>
      </c>
      <c r="J10">
        <v>6</v>
      </c>
      <c r="K10">
        <v>2128</v>
      </c>
      <c r="L10">
        <v>3.4514925373134331E-2</v>
      </c>
      <c r="M10">
        <v>0.125</v>
      </c>
      <c r="N10">
        <v>0.16216216216216217</v>
      </c>
      <c r="O10">
        <v>354.66666666666669</v>
      </c>
    </row>
    <row r="11" spans="1:15">
      <c r="A11">
        <v>46025</v>
      </c>
      <c r="B11" t="s">
        <v>15</v>
      </c>
      <c r="C11" t="s">
        <v>31</v>
      </c>
      <c r="D11" t="s">
        <v>17</v>
      </c>
      <c r="E11" t="s">
        <v>26</v>
      </c>
      <c r="F11" t="s">
        <v>30</v>
      </c>
      <c r="G11">
        <v>8420</v>
      </c>
      <c r="H11">
        <v>142</v>
      </c>
      <c r="I11">
        <v>194</v>
      </c>
      <c r="J11">
        <v>2</v>
      </c>
      <c r="K11">
        <v>2495</v>
      </c>
      <c r="L11">
        <v>2.3040380047505939E-2</v>
      </c>
      <c r="M11">
        <v>1.68646080760095E-2</v>
      </c>
      <c r="N11">
        <v>1.0309278350515464E-2</v>
      </c>
      <c r="O11">
        <v>1247.5</v>
      </c>
    </row>
    <row r="12" spans="1:15">
      <c r="A12">
        <v>46025</v>
      </c>
      <c r="B12" t="s">
        <v>15</v>
      </c>
      <c r="C12" t="s">
        <v>24</v>
      </c>
      <c r="D12" t="s">
        <v>25</v>
      </c>
      <c r="E12" t="s">
        <v>18</v>
      </c>
      <c r="F12" t="s">
        <v>19</v>
      </c>
      <c r="G12">
        <v>4844</v>
      </c>
      <c r="H12">
        <v>100</v>
      </c>
      <c r="I12">
        <v>94</v>
      </c>
      <c r="J12">
        <v>2</v>
      </c>
      <c r="K12">
        <v>1735</v>
      </c>
      <c r="L12">
        <v>1.9405450041288193E-2</v>
      </c>
      <c r="M12">
        <v>2.0644095788604461E-2</v>
      </c>
      <c r="N12">
        <v>2.1276595744680851E-2</v>
      </c>
      <c r="O12">
        <v>867.5</v>
      </c>
    </row>
    <row r="13" spans="1:15">
      <c r="A13">
        <v>46026</v>
      </c>
      <c r="B13" t="s">
        <v>15</v>
      </c>
      <c r="C13" t="s">
        <v>24</v>
      </c>
      <c r="D13" t="s">
        <v>32</v>
      </c>
      <c r="E13" t="s">
        <v>26</v>
      </c>
      <c r="F13" t="s">
        <v>30</v>
      </c>
      <c r="G13">
        <v>5497</v>
      </c>
      <c r="H13">
        <v>133</v>
      </c>
      <c r="I13">
        <v>77</v>
      </c>
      <c r="J13">
        <v>2</v>
      </c>
      <c r="K13">
        <v>1339</v>
      </c>
      <c r="L13">
        <v>1.4007640531198835E-2</v>
      </c>
      <c r="M13">
        <v>2.4195015462979808E-2</v>
      </c>
      <c r="N13">
        <v>2.5974025974025976E-2</v>
      </c>
      <c r="O13">
        <v>669.5</v>
      </c>
    </row>
    <row r="14" spans="1:15">
      <c r="A14">
        <v>46026</v>
      </c>
      <c r="B14" t="s">
        <v>15</v>
      </c>
      <c r="C14" t="s">
        <v>23</v>
      </c>
      <c r="D14" t="s">
        <v>17</v>
      </c>
      <c r="E14" t="s">
        <v>27</v>
      </c>
      <c r="F14" t="s">
        <v>30</v>
      </c>
      <c r="G14">
        <v>825</v>
      </c>
      <c r="H14">
        <v>57</v>
      </c>
      <c r="I14">
        <v>31</v>
      </c>
      <c r="J14">
        <v>3</v>
      </c>
      <c r="K14">
        <v>2203</v>
      </c>
      <c r="L14">
        <v>3.7575757575757575E-2</v>
      </c>
      <c r="M14">
        <v>6.9090909090909092E-2</v>
      </c>
      <c r="N14">
        <v>9.6774193548387094E-2</v>
      </c>
      <c r="O14">
        <v>734.33333333333337</v>
      </c>
    </row>
    <row r="15" spans="1:15">
      <c r="A15">
        <v>46026</v>
      </c>
      <c r="B15" t="s">
        <v>15</v>
      </c>
      <c r="C15" t="s">
        <v>33</v>
      </c>
      <c r="D15" t="s">
        <v>25</v>
      </c>
      <c r="E15" t="s">
        <v>27</v>
      </c>
      <c r="F15" t="s">
        <v>19</v>
      </c>
      <c r="G15">
        <v>3167</v>
      </c>
      <c r="H15">
        <v>122</v>
      </c>
      <c r="I15">
        <v>25</v>
      </c>
      <c r="J15">
        <v>1</v>
      </c>
      <c r="K15">
        <v>444</v>
      </c>
      <c r="L15">
        <v>7.8939059046416165E-3</v>
      </c>
      <c r="M15">
        <v>3.8522260814651092E-2</v>
      </c>
      <c r="N15">
        <v>0.04</v>
      </c>
      <c r="O15">
        <v>444</v>
      </c>
    </row>
    <row r="16" spans="1:15">
      <c r="A16">
        <v>46026</v>
      </c>
      <c r="B16" t="s">
        <v>15</v>
      </c>
      <c r="C16" t="s">
        <v>31</v>
      </c>
      <c r="D16" t="s">
        <v>25</v>
      </c>
      <c r="E16" t="s">
        <v>26</v>
      </c>
      <c r="F16" t="s">
        <v>34</v>
      </c>
      <c r="G16">
        <v>8257</v>
      </c>
      <c r="H16">
        <v>202</v>
      </c>
      <c r="I16">
        <v>176</v>
      </c>
      <c r="J16">
        <v>3</v>
      </c>
      <c r="K16">
        <v>1167</v>
      </c>
      <c r="L16">
        <v>2.1315247668644788E-2</v>
      </c>
      <c r="M16">
        <v>2.4464091074240038E-2</v>
      </c>
      <c r="N16">
        <v>1.7045454545454544E-2</v>
      </c>
      <c r="O16">
        <v>389</v>
      </c>
    </row>
    <row r="17" spans="1:15">
      <c r="A17">
        <v>46026</v>
      </c>
      <c r="B17" t="s">
        <v>15</v>
      </c>
      <c r="C17" t="s">
        <v>16</v>
      </c>
      <c r="D17" t="s">
        <v>17</v>
      </c>
      <c r="E17" t="s">
        <v>18</v>
      </c>
      <c r="F17" t="s">
        <v>22</v>
      </c>
      <c r="G17">
        <v>812</v>
      </c>
      <c r="H17">
        <v>129</v>
      </c>
      <c r="I17">
        <v>47</v>
      </c>
      <c r="J17">
        <v>4</v>
      </c>
      <c r="K17">
        <v>1080</v>
      </c>
      <c r="L17">
        <v>5.7881773399014777E-2</v>
      </c>
      <c r="M17">
        <v>0.15886699507389163</v>
      </c>
      <c r="N17">
        <v>8.5106382978723402E-2</v>
      </c>
      <c r="O17">
        <v>270</v>
      </c>
    </row>
    <row r="18" spans="1:15">
      <c r="A18">
        <v>46027</v>
      </c>
      <c r="B18" t="s">
        <v>15</v>
      </c>
      <c r="C18" t="s">
        <v>20</v>
      </c>
      <c r="D18" t="s">
        <v>25</v>
      </c>
      <c r="E18" t="s">
        <v>27</v>
      </c>
      <c r="F18" t="s">
        <v>19</v>
      </c>
      <c r="G18">
        <v>1095</v>
      </c>
      <c r="H18">
        <v>206</v>
      </c>
      <c r="I18">
        <v>45</v>
      </c>
      <c r="J18">
        <v>4</v>
      </c>
      <c r="K18">
        <v>1382</v>
      </c>
      <c r="L18">
        <v>4.1095890410958902E-2</v>
      </c>
      <c r="M18">
        <v>0.18812785388127853</v>
      </c>
      <c r="N18">
        <v>8.8888888888888892E-2</v>
      </c>
      <c r="O18">
        <v>345.5</v>
      </c>
    </row>
    <row r="19" spans="1:15">
      <c r="A19">
        <v>46027</v>
      </c>
      <c r="B19" t="s">
        <v>15</v>
      </c>
      <c r="C19" t="s">
        <v>24</v>
      </c>
      <c r="D19" t="s">
        <v>21</v>
      </c>
      <c r="E19" t="s">
        <v>26</v>
      </c>
      <c r="F19" t="s">
        <v>30</v>
      </c>
      <c r="G19">
        <v>3691</v>
      </c>
      <c r="H19">
        <v>71</v>
      </c>
      <c r="I19">
        <v>65</v>
      </c>
      <c r="J19">
        <v>2</v>
      </c>
      <c r="K19">
        <v>847</v>
      </c>
      <c r="L19">
        <v>1.7610403684638308E-2</v>
      </c>
      <c r="M19">
        <v>1.9235979409374153E-2</v>
      </c>
      <c r="N19">
        <v>3.0769230769230771E-2</v>
      </c>
      <c r="O19">
        <v>423.5</v>
      </c>
    </row>
    <row r="20" spans="1:15">
      <c r="A20">
        <v>46028</v>
      </c>
      <c r="B20" t="s">
        <v>15</v>
      </c>
      <c r="C20" t="s">
        <v>16</v>
      </c>
      <c r="D20" t="s">
        <v>21</v>
      </c>
      <c r="E20" t="s">
        <v>18</v>
      </c>
      <c r="F20" t="s">
        <v>34</v>
      </c>
      <c r="G20">
        <v>981</v>
      </c>
      <c r="H20">
        <v>201</v>
      </c>
      <c r="I20">
        <v>66</v>
      </c>
      <c r="J20">
        <v>8</v>
      </c>
      <c r="K20">
        <v>1022</v>
      </c>
      <c r="L20">
        <v>6.7278287461773695E-2</v>
      </c>
      <c r="M20">
        <v>0.20489296636085627</v>
      </c>
      <c r="N20">
        <v>0.12121212121212122</v>
      </c>
      <c r="O20">
        <v>127.75</v>
      </c>
    </row>
    <row r="21" spans="1:15">
      <c r="A21">
        <v>46028</v>
      </c>
      <c r="B21" t="s">
        <v>15</v>
      </c>
      <c r="C21" t="s">
        <v>33</v>
      </c>
      <c r="D21" t="s">
        <v>17</v>
      </c>
      <c r="E21" t="s">
        <v>26</v>
      </c>
      <c r="F21" t="s">
        <v>34</v>
      </c>
      <c r="G21">
        <v>2195</v>
      </c>
      <c r="H21">
        <v>82</v>
      </c>
      <c r="I21">
        <v>25</v>
      </c>
      <c r="J21">
        <v>2</v>
      </c>
      <c r="K21">
        <v>431</v>
      </c>
      <c r="L21">
        <v>1.1389521640091117E-2</v>
      </c>
      <c r="M21">
        <v>3.735763097949886E-2</v>
      </c>
      <c r="N21">
        <v>0.08</v>
      </c>
      <c r="O21">
        <v>215.5</v>
      </c>
    </row>
    <row r="22" spans="1:15">
      <c r="A22">
        <v>46028</v>
      </c>
      <c r="B22" t="s">
        <v>15</v>
      </c>
      <c r="C22" t="s">
        <v>20</v>
      </c>
      <c r="D22" t="s">
        <v>32</v>
      </c>
      <c r="E22" t="s">
        <v>18</v>
      </c>
      <c r="F22" t="s">
        <v>34</v>
      </c>
      <c r="G22">
        <v>1074</v>
      </c>
      <c r="H22">
        <v>284</v>
      </c>
      <c r="I22">
        <v>65</v>
      </c>
      <c r="J22">
        <v>3</v>
      </c>
      <c r="K22">
        <v>761</v>
      </c>
      <c r="L22">
        <v>6.0521415270018621E-2</v>
      </c>
      <c r="M22">
        <v>0.26443202979515829</v>
      </c>
      <c r="N22">
        <v>4.6153846153846156E-2</v>
      </c>
      <c r="O22">
        <v>253.66666666666666</v>
      </c>
    </row>
    <row r="23" spans="1:15">
      <c r="A23">
        <v>46029</v>
      </c>
      <c r="B23" t="s">
        <v>15</v>
      </c>
      <c r="C23" t="s">
        <v>20</v>
      </c>
      <c r="D23" t="s">
        <v>35</v>
      </c>
      <c r="E23" t="s">
        <v>18</v>
      </c>
      <c r="F23" t="s">
        <v>30</v>
      </c>
      <c r="G23">
        <v>1088</v>
      </c>
      <c r="H23">
        <v>157</v>
      </c>
      <c r="I23">
        <v>37</v>
      </c>
      <c r="J23">
        <v>2</v>
      </c>
      <c r="K23">
        <v>875</v>
      </c>
      <c r="L23">
        <v>3.4007352941176468E-2</v>
      </c>
      <c r="M23">
        <v>0.14430147058823528</v>
      </c>
      <c r="N23">
        <v>5.4054054054054057E-2</v>
      </c>
      <c r="O23">
        <v>437.5</v>
      </c>
    </row>
    <row r="24" spans="1:15">
      <c r="A24">
        <v>46029</v>
      </c>
      <c r="B24" t="s">
        <v>15</v>
      </c>
      <c r="C24" t="s">
        <v>36</v>
      </c>
      <c r="D24" t="s">
        <v>17</v>
      </c>
      <c r="E24" t="s">
        <v>27</v>
      </c>
      <c r="F24" t="s">
        <v>34</v>
      </c>
      <c r="G24">
        <v>95</v>
      </c>
      <c r="H24">
        <v>52</v>
      </c>
      <c r="I24">
        <v>32</v>
      </c>
      <c r="J24">
        <v>12</v>
      </c>
      <c r="K24">
        <v>2877</v>
      </c>
      <c r="L24">
        <v>0.33684210526315789</v>
      </c>
      <c r="M24">
        <v>0.54736842105263162</v>
      </c>
      <c r="N24">
        <v>0.375</v>
      </c>
      <c r="O24">
        <v>239.75</v>
      </c>
    </row>
    <row r="25" spans="1:15">
      <c r="A25">
        <v>46029</v>
      </c>
      <c r="B25" t="s">
        <v>15</v>
      </c>
      <c r="C25" t="s">
        <v>33</v>
      </c>
      <c r="D25" t="s">
        <v>25</v>
      </c>
      <c r="E25" t="s">
        <v>26</v>
      </c>
      <c r="F25" t="s">
        <v>30</v>
      </c>
      <c r="G25">
        <v>1250</v>
      </c>
      <c r="H25">
        <v>56</v>
      </c>
      <c r="I25">
        <v>7</v>
      </c>
      <c r="J25">
        <v>0</v>
      </c>
      <c r="K25">
        <v>729</v>
      </c>
      <c r="L25">
        <v>5.5999999999999999E-3</v>
      </c>
      <c r="M25">
        <v>4.48E-2</v>
      </c>
      <c r="N25">
        <v>0</v>
      </c>
    </row>
    <row r="26" spans="1:15">
      <c r="A26">
        <v>46029</v>
      </c>
      <c r="B26" t="s">
        <v>15</v>
      </c>
      <c r="C26" t="s">
        <v>16</v>
      </c>
      <c r="D26" t="s">
        <v>17</v>
      </c>
      <c r="E26" t="s">
        <v>18</v>
      </c>
      <c r="F26" t="s">
        <v>22</v>
      </c>
      <c r="G26">
        <v>1507</v>
      </c>
      <c r="H26">
        <v>245</v>
      </c>
      <c r="I26">
        <v>90</v>
      </c>
      <c r="J26">
        <v>9</v>
      </c>
      <c r="K26">
        <v>736</v>
      </c>
      <c r="L26">
        <v>5.9721300597213006E-2</v>
      </c>
      <c r="M26">
        <v>0.16257465162574652</v>
      </c>
      <c r="N26">
        <v>0.1</v>
      </c>
      <c r="O26">
        <v>81.777777777777771</v>
      </c>
    </row>
    <row r="27" spans="1:15">
      <c r="A27">
        <v>46029</v>
      </c>
      <c r="B27" t="s">
        <v>15</v>
      </c>
      <c r="C27" t="s">
        <v>23</v>
      </c>
      <c r="D27" t="s">
        <v>35</v>
      </c>
      <c r="E27" t="s">
        <v>18</v>
      </c>
      <c r="F27" t="s">
        <v>30</v>
      </c>
      <c r="G27">
        <v>1222</v>
      </c>
      <c r="H27">
        <v>148</v>
      </c>
      <c r="I27">
        <v>52</v>
      </c>
      <c r="J27">
        <v>10</v>
      </c>
      <c r="K27">
        <v>4366</v>
      </c>
      <c r="L27">
        <v>4.2553191489361701E-2</v>
      </c>
      <c r="M27">
        <v>0.12111292962356793</v>
      </c>
      <c r="N27">
        <v>0.19230769230769232</v>
      </c>
      <c r="O27">
        <v>436.6</v>
      </c>
    </row>
    <row r="28" spans="1:15">
      <c r="A28">
        <v>46030</v>
      </c>
      <c r="B28" t="s">
        <v>37</v>
      </c>
      <c r="C28" t="s">
        <v>20</v>
      </c>
      <c r="D28" t="s">
        <v>17</v>
      </c>
      <c r="E28" t="s">
        <v>26</v>
      </c>
      <c r="F28" t="s">
        <v>22</v>
      </c>
      <c r="G28">
        <v>554</v>
      </c>
      <c r="H28">
        <v>102</v>
      </c>
      <c r="I28">
        <v>27</v>
      </c>
      <c r="J28">
        <v>2</v>
      </c>
      <c r="K28">
        <v>1417</v>
      </c>
      <c r="L28">
        <v>4.8736462093862815E-2</v>
      </c>
      <c r="M28">
        <v>0.18411552346570398</v>
      </c>
      <c r="N28">
        <v>7.407407407407407E-2</v>
      </c>
      <c r="O28">
        <v>708.5</v>
      </c>
    </row>
    <row r="29" spans="1:15">
      <c r="A29">
        <v>46030</v>
      </c>
      <c r="B29" t="s">
        <v>37</v>
      </c>
      <c r="C29" t="s">
        <v>31</v>
      </c>
      <c r="D29" t="s">
        <v>21</v>
      </c>
      <c r="E29" t="s">
        <v>18</v>
      </c>
      <c r="F29" t="s">
        <v>34</v>
      </c>
      <c r="G29">
        <v>4434</v>
      </c>
      <c r="H29">
        <v>96</v>
      </c>
      <c r="I29">
        <v>150</v>
      </c>
      <c r="J29">
        <v>3</v>
      </c>
      <c r="K29">
        <v>2357</v>
      </c>
      <c r="L29">
        <v>3.3829499323410013E-2</v>
      </c>
      <c r="M29">
        <v>2.165087956698241E-2</v>
      </c>
      <c r="N29">
        <v>0.02</v>
      </c>
      <c r="O29">
        <v>785.66666666666663</v>
      </c>
    </row>
    <row r="30" spans="1:15">
      <c r="A30">
        <v>46030</v>
      </c>
      <c r="B30" t="s">
        <v>37</v>
      </c>
      <c r="C30" t="s">
        <v>24</v>
      </c>
      <c r="D30" t="s">
        <v>35</v>
      </c>
      <c r="E30" t="s">
        <v>18</v>
      </c>
      <c r="F30" t="s">
        <v>30</v>
      </c>
      <c r="G30">
        <v>4700</v>
      </c>
      <c r="H30">
        <v>111</v>
      </c>
      <c r="I30">
        <v>73</v>
      </c>
      <c r="J30">
        <v>1</v>
      </c>
      <c r="K30">
        <v>1320</v>
      </c>
      <c r="L30">
        <v>1.5531914893617021E-2</v>
      </c>
      <c r="M30">
        <v>2.3617021276595745E-2</v>
      </c>
      <c r="N30">
        <v>1.3698630136986301E-2</v>
      </c>
      <c r="O30">
        <v>1320</v>
      </c>
    </row>
    <row r="31" spans="1:15">
      <c r="A31">
        <v>46030</v>
      </c>
      <c r="B31" t="s">
        <v>37</v>
      </c>
      <c r="C31" t="s">
        <v>23</v>
      </c>
      <c r="D31" t="s">
        <v>35</v>
      </c>
      <c r="E31" t="s">
        <v>18</v>
      </c>
      <c r="F31" t="s">
        <v>34</v>
      </c>
      <c r="G31">
        <v>1334</v>
      </c>
      <c r="H31">
        <v>160</v>
      </c>
      <c r="I31">
        <v>63</v>
      </c>
      <c r="J31">
        <v>15</v>
      </c>
      <c r="K31">
        <v>3944</v>
      </c>
      <c r="L31">
        <v>4.7226386806596701E-2</v>
      </c>
      <c r="M31">
        <v>0.1199400299850075</v>
      </c>
      <c r="N31">
        <v>0.23809523809523808</v>
      </c>
      <c r="O31">
        <v>262.93333333333334</v>
      </c>
    </row>
    <row r="32" spans="1:15">
      <c r="A32">
        <v>46031</v>
      </c>
      <c r="B32" t="s">
        <v>37</v>
      </c>
      <c r="C32" t="s">
        <v>23</v>
      </c>
      <c r="D32" t="s">
        <v>35</v>
      </c>
      <c r="E32" t="s">
        <v>27</v>
      </c>
      <c r="F32" t="s">
        <v>30</v>
      </c>
      <c r="G32">
        <v>1335</v>
      </c>
      <c r="H32">
        <v>102</v>
      </c>
      <c r="I32">
        <v>47</v>
      </c>
      <c r="J32">
        <v>9</v>
      </c>
      <c r="K32">
        <v>2896</v>
      </c>
      <c r="L32">
        <v>3.5205992509363293E-2</v>
      </c>
      <c r="M32">
        <v>7.6404494382022473E-2</v>
      </c>
      <c r="N32">
        <v>0.19148936170212766</v>
      </c>
      <c r="O32">
        <v>321.77777777777777</v>
      </c>
    </row>
    <row r="33" spans="1:15">
      <c r="A33">
        <v>46031</v>
      </c>
      <c r="B33" t="s">
        <v>37</v>
      </c>
      <c r="C33" t="s">
        <v>33</v>
      </c>
      <c r="D33" t="s">
        <v>25</v>
      </c>
      <c r="E33" t="s">
        <v>18</v>
      </c>
      <c r="F33" t="s">
        <v>19</v>
      </c>
      <c r="G33">
        <v>1352</v>
      </c>
      <c r="H33">
        <v>56</v>
      </c>
      <c r="I33">
        <v>16</v>
      </c>
      <c r="J33">
        <v>0</v>
      </c>
      <c r="K33">
        <v>663</v>
      </c>
      <c r="L33">
        <v>1.1834319526627219E-2</v>
      </c>
      <c r="M33">
        <v>4.142011834319527E-2</v>
      </c>
      <c r="N33">
        <v>0</v>
      </c>
    </row>
    <row r="34" spans="1:15">
      <c r="A34">
        <v>46031</v>
      </c>
      <c r="B34" t="s">
        <v>37</v>
      </c>
      <c r="C34" t="s">
        <v>20</v>
      </c>
      <c r="D34" t="s">
        <v>21</v>
      </c>
      <c r="E34" t="s">
        <v>29</v>
      </c>
      <c r="F34" t="s">
        <v>19</v>
      </c>
      <c r="G34">
        <v>1017</v>
      </c>
      <c r="H34">
        <v>219</v>
      </c>
      <c r="I34">
        <v>90</v>
      </c>
      <c r="J34">
        <v>6</v>
      </c>
      <c r="K34">
        <v>1547</v>
      </c>
      <c r="L34">
        <v>8.8495575221238937E-2</v>
      </c>
      <c r="M34">
        <v>0.21533923303834809</v>
      </c>
      <c r="N34">
        <v>6.6666666666666666E-2</v>
      </c>
      <c r="O34">
        <v>257.83333333333331</v>
      </c>
    </row>
    <row r="35" spans="1:15">
      <c r="A35">
        <v>46031</v>
      </c>
      <c r="B35" t="s">
        <v>37</v>
      </c>
      <c r="C35" t="s">
        <v>16</v>
      </c>
      <c r="D35" t="s">
        <v>35</v>
      </c>
      <c r="E35" t="s">
        <v>18</v>
      </c>
      <c r="F35" t="s">
        <v>34</v>
      </c>
      <c r="G35">
        <v>1413</v>
      </c>
      <c r="H35">
        <v>264</v>
      </c>
      <c r="I35">
        <v>70</v>
      </c>
      <c r="J35">
        <v>8</v>
      </c>
      <c r="K35">
        <v>1015</v>
      </c>
      <c r="L35">
        <v>4.953998584571833E-2</v>
      </c>
      <c r="M35">
        <v>0.18683651804670912</v>
      </c>
      <c r="N35">
        <v>0.11428571428571428</v>
      </c>
      <c r="O35">
        <v>126.875</v>
      </c>
    </row>
    <row r="36" spans="1:15">
      <c r="A36">
        <v>46031</v>
      </c>
      <c r="B36" t="s">
        <v>37</v>
      </c>
      <c r="C36" t="s">
        <v>36</v>
      </c>
      <c r="D36" t="s">
        <v>25</v>
      </c>
      <c r="E36" t="s">
        <v>18</v>
      </c>
      <c r="F36" t="s">
        <v>30</v>
      </c>
      <c r="G36">
        <v>137</v>
      </c>
      <c r="H36">
        <v>57</v>
      </c>
      <c r="I36">
        <v>53</v>
      </c>
      <c r="J36">
        <v>20</v>
      </c>
      <c r="K36">
        <v>6117</v>
      </c>
      <c r="L36">
        <v>0.38686131386861317</v>
      </c>
      <c r="M36">
        <v>0.41605839416058393</v>
      </c>
      <c r="N36">
        <v>0.37735849056603776</v>
      </c>
      <c r="O36">
        <v>305.85000000000002</v>
      </c>
    </row>
    <row r="37" spans="1:15">
      <c r="A37">
        <v>46032</v>
      </c>
      <c r="B37" t="s">
        <v>37</v>
      </c>
      <c r="C37" t="s">
        <v>31</v>
      </c>
      <c r="D37" t="s">
        <v>21</v>
      </c>
      <c r="E37" t="s">
        <v>29</v>
      </c>
      <c r="F37" t="s">
        <v>30</v>
      </c>
      <c r="G37">
        <v>12140</v>
      </c>
      <c r="H37">
        <v>259</v>
      </c>
      <c r="I37">
        <v>439</v>
      </c>
      <c r="J37">
        <v>10</v>
      </c>
      <c r="K37">
        <v>2336</v>
      </c>
      <c r="L37">
        <v>3.6161449752883032E-2</v>
      </c>
      <c r="M37">
        <v>2.1334431630971994E-2</v>
      </c>
      <c r="N37">
        <v>2.2779043280182234E-2</v>
      </c>
      <c r="O37">
        <v>233.6</v>
      </c>
    </row>
    <row r="38" spans="1:15">
      <c r="A38">
        <v>46032</v>
      </c>
      <c r="B38" t="s">
        <v>37</v>
      </c>
      <c r="C38" t="s">
        <v>24</v>
      </c>
      <c r="D38" t="s">
        <v>21</v>
      </c>
      <c r="E38" t="s">
        <v>27</v>
      </c>
      <c r="F38" t="s">
        <v>34</v>
      </c>
      <c r="G38">
        <v>4060</v>
      </c>
      <c r="H38">
        <v>123</v>
      </c>
      <c r="I38">
        <v>123</v>
      </c>
      <c r="J38">
        <v>4</v>
      </c>
      <c r="K38">
        <v>1116</v>
      </c>
      <c r="L38">
        <v>3.0295566502463053E-2</v>
      </c>
      <c r="M38">
        <v>3.0295566502463053E-2</v>
      </c>
      <c r="N38">
        <v>3.2520325203252036E-2</v>
      </c>
      <c r="O38">
        <v>279</v>
      </c>
    </row>
    <row r="39" spans="1:15">
      <c r="A39">
        <v>46032</v>
      </c>
      <c r="B39" t="s">
        <v>37</v>
      </c>
      <c r="C39" t="s">
        <v>20</v>
      </c>
      <c r="D39" t="s">
        <v>25</v>
      </c>
      <c r="E39" t="s">
        <v>18</v>
      </c>
      <c r="F39" t="s">
        <v>30</v>
      </c>
      <c r="G39">
        <v>533</v>
      </c>
      <c r="H39">
        <v>113</v>
      </c>
      <c r="I39">
        <v>37</v>
      </c>
      <c r="J39">
        <v>1</v>
      </c>
      <c r="K39">
        <v>1009</v>
      </c>
      <c r="L39">
        <v>6.9418386491557224E-2</v>
      </c>
      <c r="M39">
        <v>0.21200750469043153</v>
      </c>
      <c r="N39">
        <v>2.7027027027027029E-2</v>
      </c>
      <c r="O39">
        <v>1009</v>
      </c>
    </row>
    <row r="40" spans="1:15">
      <c r="A40">
        <v>46033</v>
      </c>
      <c r="B40" t="s">
        <v>37</v>
      </c>
      <c r="C40" t="s">
        <v>20</v>
      </c>
      <c r="D40" t="s">
        <v>35</v>
      </c>
      <c r="E40" t="s">
        <v>27</v>
      </c>
      <c r="F40" t="s">
        <v>30</v>
      </c>
      <c r="G40">
        <v>1720</v>
      </c>
      <c r="H40">
        <v>228</v>
      </c>
      <c r="I40">
        <v>76</v>
      </c>
      <c r="J40">
        <v>4</v>
      </c>
      <c r="K40">
        <v>1351</v>
      </c>
      <c r="L40">
        <v>4.4186046511627906E-2</v>
      </c>
      <c r="M40">
        <v>0.13255813953488371</v>
      </c>
      <c r="N40">
        <v>5.2631578947368418E-2</v>
      </c>
      <c r="O40">
        <v>337.75</v>
      </c>
    </row>
    <row r="41" spans="1:15">
      <c r="A41">
        <v>46033</v>
      </c>
      <c r="B41" t="s">
        <v>37</v>
      </c>
      <c r="C41" t="s">
        <v>31</v>
      </c>
      <c r="D41" t="s">
        <v>25</v>
      </c>
      <c r="E41" t="s">
        <v>26</v>
      </c>
      <c r="F41" t="s">
        <v>30</v>
      </c>
      <c r="G41">
        <v>5573</v>
      </c>
      <c r="H41">
        <v>101</v>
      </c>
      <c r="I41">
        <v>122</v>
      </c>
      <c r="J41">
        <v>1</v>
      </c>
      <c r="K41">
        <v>1535</v>
      </c>
      <c r="L41">
        <v>2.1891261439081284E-2</v>
      </c>
      <c r="M41">
        <v>1.8123093486452538E-2</v>
      </c>
      <c r="N41">
        <v>8.1967213114754103E-3</v>
      </c>
      <c r="O41">
        <v>1535</v>
      </c>
    </row>
    <row r="42" spans="1:15">
      <c r="A42">
        <v>46034</v>
      </c>
      <c r="B42" t="s">
        <v>37</v>
      </c>
      <c r="C42" t="s">
        <v>33</v>
      </c>
      <c r="D42" t="s">
        <v>25</v>
      </c>
      <c r="E42" t="s">
        <v>18</v>
      </c>
      <c r="F42" t="s">
        <v>22</v>
      </c>
      <c r="G42">
        <v>1080</v>
      </c>
      <c r="H42">
        <v>27</v>
      </c>
      <c r="I42">
        <v>6</v>
      </c>
      <c r="J42">
        <v>0</v>
      </c>
      <c r="K42">
        <v>624</v>
      </c>
      <c r="L42">
        <v>5.5555555555555558E-3</v>
      </c>
      <c r="M42">
        <v>2.5000000000000001E-2</v>
      </c>
      <c r="N42">
        <v>0</v>
      </c>
    </row>
    <row r="43" spans="1:15">
      <c r="A43">
        <v>46034</v>
      </c>
      <c r="B43" t="s">
        <v>37</v>
      </c>
      <c r="C43" t="s">
        <v>20</v>
      </c>
      <c r="D43" t="s">
        <v>25</v>
      </c>
      <c r="E43" t="s">
        <v>18</v>
      </c>
      <c r="F43" t="s">
        <v>34</v>
      </c>
      <c r="G43">
        <v>1515</v>
      </c>
      <c r="H43">
        <v>356</v>
      </c>
      <c r="I43">
        <v>94</v>
      </c>
      <c r="J43">
        <v>7</v>
      </c>
      <c r="K43">
        <v>1250</v>
      </c>
      <c r="L43">
        <v>6.2046204620462043E-2</v>
      </c>
      <c r="M43">
        <v>0.23498349834983498</v>
      </c>
      <c r="N43">
        <v>7.4468085106382975E-2</v>
      </c>
      <c r="O43">
        <v>178.57142857142858</v>
      </c>
    </row>
    <row r="44" spans="1:15">
      <c r="A44">
        <v>46034</v>
      </c>
      <c r="B44" t="s">
        <v>37</v>
      </c>
      <c r="C44" t="s">
        <v>16</v>
      </c>
      <c r="D44" t="s">
        <v>17</v>
      </c>
      <c r="E44" t="s">
        <v>18</v>
      </c>
      <c r="F44" t="s">
        <v>34</v>
      </c>
      <c r="G44">
        <v>621</v>
      </c>
      <c r="H44">
        <v>99</v>
      </c>
      <c r="I44">
        <v>44</v>
      </c>
      <c r="J44">
        <v>6</v>
      </c>
      <c r="K44">
        <v>1178</v>
      </c>
      <c r="L44">
        <v>7.0853462157809979E-2</v>
      </c>
      <c r="M44">
        <v>0.15942028985507245</v>
      </c>
      <c r="N44">
        <v>0.13636363636363635</v>
      </c>
      <c r="O44">
        <v>196.33333333333334</v>
      </c>
    </row>
    <row r="45" spans="1:15">
      <c r="A45">
        <v>46035</v>
      </c>
      <c r="B45" t="s">
        <v>37</v>
      </c>
      <c r="C45" t="s">
        <v>23</v>
      </c>
      <c r="D45" t="s">
        <v>25</v>
      </c>
      <c r="E45" t="s">
        <v>26</v>
      </c>
      <c r="F45" t="s">
        <v>34</v>
      </c>
      <c r="G45">
        <v>1835</v>
      </c>
      <c r="H45">
        <v>230</v>
      </c>
      <c r="I45">
        <v>63</v>
      </c>
      <c r="J45">
        <v>9</v>
      </c>
      <c r="K45">
        <v>2835</v>
      </c>
      <c r="L45">
        <v>3.4332425068119891E-2</v>
      </c>
      <c r="M45">
        <v>0.12534059945504086</v>
      </c>
      <c r="N45">
        <v>0.14285714285714285</v>
      </c>
      <c r="O45">
        <v>315</v>
      </c>
    </row>
    <row r="46" spans="1:15">
      <c r="A46">
        <v>46035</v>
      </c>
      <c r="B46" t="s">
        <v>37</v>
      </c>
      <c r="C46" t="s">
        <v>33</v>
      </c>
      <c r="D46" t="s">
        <v>21</v>
      </c>
      <c r="E46" t="s">
        <v>18</v>
      </c>
      <c r="F46" t="s">
        <v>22</v>
      </c>
      <c r="G46">
        <v>1892</v>
      </c>
      <c r="H46">
        <v>65</v>
      </c>
      <c r="I46">
        <v>14</v>
      </c>
      <c r="J46">
        <v>1</v>
      </c>
      <c r="K46">
        <v>451</v>
      </c>
      <c r="L46">
        <v>7.3995771670190271E-3</v>
      </c>
      <c r="M46">
        <v>3.4355179704016914E-2</v>
      </c>
      <c r="N46">
        <v>7.1428571428571425E-2</v>
      </c>
      <c r="O46">
        <v>451</v>
      </c>
    </row>
    <row r="47" spans="1:15">
      <c r="A47">
        <v>46035</v>
      </c>
      <c r="B47" t="s">
        <v>37</v>
      </c>
      <c r="C47" t="s">
        <v>31</v>
      </c>
      <c r="D47" t="s">
        <v>35</v>
      </c>
      <c r="E47" t="s">
        <v>26</v>
      </c>
      <c r="F47" t="s">
        <v>22</v>
      </c>
      <c r="G47">
        <v>10782</v>
      </c>
      <c r="H47">
        <v>188</v>
      </c>
      <c r="I47">
        <v>152</v>
      </c>
      <c r="J47">
        <v>2</v>
      </c>
      <c r="K47">
        <v>1773</v>
      </c>
      <c r="L47">
        <v>1.4097570024114265E-2</v>
      </c>
      <c r="M47">
        <v>1.7436468187720273E-2</v>
      </c>
      <c r="N47">
        <v>1.3157894736842105E-2</v>
      </c>
      <c r="O47">
        <v>886.5</v>
      </c>
    </row>
    <row r="48" spans="1:15">
      <c r="A48">
        <v>46036</v>
      </c>
      <c r="B48" t="s">
        <v>37</v>
      </c>
      <c r="C48" t="s">
        <v>23</v>
      </c>
      <c r="D48" t="s">
        <v>35</v>
      </c>
      <c r="E48" t="s">
        <v>18</v>
      </c>
      <c r="F48" t="s">
        <v>22</v>
      </c>
      <c r="G48">
        <v>1413</v>
      </c>
      <c r="H48">
        <v>126</v>
      </c>
      <c r="I48">
        <v>24</v>
      </c>
      <c r="J48">
        <v>3</v>
      </c>
      <c r="K48">
        <v>2408</v>
      </c>
      <c r="L48">
        <v>1.6985138004246284E-2</v>
      </c>
      <c r="M48">
        <v>8.9171974522292988E-2</v>
      </c>
      <c r="N48">
        <v>0.125</v>
      </c>
      <c r="O48">
        <v>802.66666666666663</v>
      </c>
    </row>
    <row r="49" spans="1:15">
      <c r="A49">
        <v>46036</v>
      </c>
      <c r="B49" t="s">
        <v>37</v>
      </c>
      <c r="C49" t="s">
        <v>24</v>
      </c>
      <c r="D49" t="s">
        <v>35</v>
      </c>
      <c r="E49" t="s">
        <v>26</v>
      </c>
      <c r="F49" t="s">
        <v>34</v>
      </c>
      <c r="G49">
        <v>3370</v>
      </c>
      <c r="H49">
        <v>114</v>
      </c>
      <c r="I49">
        <v>38</v>
      </c>
      <c r="J49">
        <v>0</v>
      </c>
      <c r="K49">
        <v>1725</v>
      </c>
      <c r="L49">
        <v>1.1275964391691394E-2</v>
      </c>
      <c r="M49">
        <v>3.3827893175074182E-2</v>
      </c>
      <c r="N49">
        <v>0</v>
      </c>
    </row>
    <row r="50" spans="1:15">
      <c r="A50">
        <v>46036</v>
      </c>
      <c r="B50" t="s">
        <v>37</v>
      </c>
      <c r="C50" t="s">
        <v>16</v>
      </c>
      <c r="D50" t="s">
        <v>25</v>
      </c>
      <c r="E50" t="s">
        <v>26</v>
      </c>
      <c r="F50" t="s">
        <v>34</v>
      </c>
      <c r="G50">
        <v>726</v>
      </c>
      <c r="H50">
        <v>146</v>
      </c>
      <c r="I50">
        <v>32</v>
      </c>
      <c r="J50">
        <v>2</v>
      </c>
      <c r="K50">
        <v>976</v>
      </c>
      <c r="L50">
        <v>4.4077134986225897E-2</v>
      </c>
      <c r="M50">
        <v>0.20110192837465565</v>
      </c>
      <c r="N50">
        <v>6.25E-2</v>
      </c>
      <c r="O50">
        <v>488</v>
      </c>
    </row>
    <row r="51" spans="1:15">
      <c r="A51">
        <v>46036</v>
      </c>
      <c r="B51" t="s">
        <v>37</v>
      </c>
      <c r="C51" t="s">
        <v>20</v>
      </c>
      <c r="D51" t="s">
        <v>25</v>
      </c>
      <c r="E51" t="s">
        <v>26</v>
      </c>
      <c r="F51" t="s">
        <v>34</v>
      </c>
      <c r="G51">
        <v>560</v>
      </c>
      <c r="H51">
        <v>93</v>
      </c>
      <c r="I51">
        <v>30</v>
      </c>
      <c r="J51">
        <v>1</v>
      </c>
      <c r="K51">
        <v>1360</v>
      </c>
      <c r="L51">
        <v>5.3571428571428568E-2</v>
      </c>
      <c r="M51">
        <v>0.16607142857142856</v>
      </c>
      <c r="N51">
        <v>3.3333333333333333E-2</v>
      </c>
      <c r="O51">
        <v>1360</v>
      </c>
    </row>
    <row r="52" spans="1:15">
      <c r="A52">
        <v>46037</v>
      </c>
      <c r="B52" t="s">
        <v>38</v>
      </c>
      <c r="C52" t="s">
        <v>23</v>
      </c>
      <c r="D52" t="s">
        <v>32</v>
      </c>
      <c r="E52" t="s">
        <v>26</v>
      </c>
      <c r="F52" t="s">
        <v>34</v>
      </c>
      <c r="G52">
        <v>1024</v>
      </c>
      <c r="H52">
        <v>85</v>
      </c>
      <c r="I52">
        <v>39</v>
      </c>
      <c r="J52">
        <v>3</v>
      </c>
      <c r="K52">
        <v>1558</v>
      </c>
      <c r="L52">
        <v>3.80859375E-2</v>
      </c>
      <c r="M52">
        <v>8.30078125E-2</v>
      </c>
      <c r="N52">
        <v>7.6923076923076927E-2</v>
      </c>
      <c r="O52">
        <v>519.33333333333337</v>
      </c>
    </row>
    <row r="53" spans="1:15">
      <c r="A53">
        <v>46037</v>
      </c>
      <c r="B53" t="s">
        <v>38</v>
      </c>
      <c r="C53" t="s">
        <v>36</v>
      </c>
      <c r="D53" t="s">
        <v>25</v>
      </c>
      <c r="E53" t="s">
        <v>26</v>
      </c>
      <c r="F53" t="s">
        <v>34</v>
      </c>
      <c r="G53">
        <v>80</v>
      </c>
      <c r="H53">
        <v>41</v>
      </c>
      <c r="I53">
        <v>29</v>
      </c>
      <c r="J53">
        <v>12</v>
      </c>
      <c r="K53">
        <v>4042</v>
      </c>
      <c r="L53">
        <v>0.36249999999999999</v>
      </c>
      <c r="M53">
        <v>0.51249999999999996</v>
      </c>
      <c r="N53">
        <v>0.41379310344827586</v>
      </c>
      <c r="O53">
        <v>336.83333333333331</v>
      </c>
    </row>
    <row r="54" spans="1:15">
      <c r="A54">
        <v>46037</v>
      </c>
      <c r="B54" t="s">
        <v>38</v>
      </c>
      <c r="C54" t="s">
        <v>33</v>
      </c>
      <c r="D54" t="s">
        <v>17</v>
      </c>
      <c r="E54" t="s">
        <v>27</v>
      </c>
      <c r="F54" t="s">
        <v>30</v>
      </c>
      <c r="G54">
        <v>1880</v>
      </c>
      <c r="H54">
        <v>87</v>
      </c>
      <c r="I54">
        <v>27</v>
      </c>
      <c r="J54">
        <v>1</v>
      </c>
      <c r="K54">
        <v>541</v>
      </c>
      <c r="L54">
        <v>1.4361702127659574E-2</v>
      </c>
      <c r="M54">
        <v>4.6276595744680848E-2</v>
      </c>
      <c r="N54">
        <v>3.7037037037037035E-2</v>
      </c>
      <c r="O54">
        <v>541</v>
      </c>
    </row>
    <row r="55" spans="1:15">
      <c r="A55">
        <v>46037</v>
      </c>
      <c r="B55" t="s">
        <v>38</v>
      </c>
      <c r="C55" t="s">
        <v>20</v>
      </c>
      <c r="D55" t="s">
        <v>25</v>
      </c>
      <c r="E55" t="s">
        <v>27</v>
      </c>
      <c r="F55" t="s">
        <v>19</v>
      </c>
      <c r="G55">
        <v>1218</v>
      </c>
      <c r="H55">
        <v>258</v>
      </c>
      <c r="I55">
        <v>67</v>
      </c>
      <c r="J55">
        <v>4</v>
      </c>
      <c r="K55">
        <v>1168</v>
      </c>
      <c r="L55">
        <v>5.5008210180623976E-2</v>
      </c>
      <c r="M55">
        <v>0.21182266009852216</v>
      </c>
      <c r="N55">
        <v>5.9701492537313432E-2</v>
      </c>
      <c r="O55">
        <v>292</v>
      </c>
    </row>
    <row r="56" spans="1:15">
      <c r="A56">
        <v>46038</v>
      </c>
      <c r="B56" t="s">
        <v>38</v>
      </c>
      <c r="C56" t="s">
        <v>20</v>
      </c>
      <c r="D56" t="s">
        <v>25</v>
      </c>
      <c r="E56" t="s">
        <v>18</v>
      </c>
      <c r="F56" t="s">
        <v>34</v>
      </c>
      <c r="G56">
        <v>815</v>
      </c>
      <c r="H56">
        <v>196</v>
      </c>
      <c r="I56">
        <v>53</v>
      </c>
      <c r="J56">
        <v>3</v>
      </c>
      <c r="K56">
        <v>637</v>
      </c>
      <c r="L56">
        <v>6.5030674846625766E-2</v>
      </c>
      <c r="M56">
        <v>0.24049079754601227</v>
      </c>
      <c r="N56">
        <v>5.6603773584905662E-2</v>
      </c>
      <c r="O56">
        <v>212.33333333333334</v>
      </c>
    </row>
    <row r="57" spans="1:15">
      <c r="A57">
        <v>46038</v>
      </c>
      <c r="B57" t="s">
        <v>38</v>
      </c>
      <c r="C57" t="s">
        <v>24</v>
      </c>
      <c r="D57" t="s">
        <v>35</v>
      </c>
      <c r="E57" t="s">
        <v>18</v>
      </c>
      <c r="F57" t="s">
        <v>34</v>
      </c>
      <c r="G57">
        <v>4598</v>
      </c>
      <c r="H57">
        <v>163</v>
      </c>
      <c r="I57">
        <v>81</v>
      </c>
      <c r="J57">
        <v>1</v>
      </c>
      <c r="K57">
        <v>915</v>
      </c>
      <c r="L57">
        <v>1.7616354936929101E-2</v>
      </c>
      <c r="M57">
        <v>3.5450195737277077E-2</v>
      </c>
      <c r="N57">
        <v>1.2345679012345678E-2</v>
      </c>
      <c r="O57">
        <v>915</v>
      </c>
    </row>
    <row r="58" spans="1:15">
      <c r="A58">
        <v>46039</v>
      </c>
      <c r="B58" t="s">
        <v>38</v>
      </c>
      <c r="C58" t="s">
        <v>23</v>
      </c>
      <c r="D58" t="s">
        <v>25</v>
      </c>
      <c r="E58" t="s">
        <v>18</v>
      </c>
      <c r="F58" t="s">
        <v>34</v>
      </c>
      <c r="G58">
        <v>1390</v>
      </c>
      <c r="H58">
        <v>185</v>
      </c>
      <c r="I58">
        <v>73</v>
      </c>
      <c r="J58">
        <v>10</v>
      </c>
      <c r="K58">
        <v>2843</v>
      </c>
      <c r="L58">
        <v>5.251798561151079E-2</v>
      </c>
      <c r="M58">
        <v>0.13309352517985612</v>
      </c>
      <c r="N58">
        <v>0.13698630136986301</v>
      </c>
      <c r="O58">
        <v>284.3</v>
      </c>
    </row>
    <row r="59" spans="1:15">
      <c r="A59">
        <v>46039</v>
      </c>
      <c r="B59" t="s">
        <v>38</v>
      </c>
      <c r="C59" t="s">
        <v>31</v>
      </c>
      <c r="D59" t="s">
        <v>21</v>
      </c>
      <c r="E59" t="s">
        <v>26</v>
      </c>
      <c r="F59" t="s">
        <v>30</v>
      </c>
      <c r="G59">
        <v>4033</v>
      </c>
      <c r="H59">
        <v>79</v>
      </c>
      <c r="I59">
        <v>166</v>
      </c>
      <c r="J59">
        <v>4</v>
      </c>
      <c r="K59">
        <v>1274</v>
      </c>
      <c r="L59">
        <v>4.1160426481527401E-2</v>
      </c>
      <c r="M59">
        <v>1.9588395735184727E-2</v>
      </c>
      <c r="N59">
        <v>2.4096385542168676E-2</v>
      </c>
      <c r="O59">
        <v>318.5</v>
      </c>
    </row>
    <row r="60" spans="1:15">
      <c r="A60">
        <v>46039</v>
      </c>
      <c r="B60" t="s">
        <v>38</v>
      </c>
      <c r="C60" t="s">
        <v>16</v>
      </c>
      <c r="D60" t="s">
        <v>25</v>
      </c>
      <c r="E60" t="s">
        <v>29</v>
      </c>
      <c r="F60" t="s">
        <v>22</v>
      </c>
      <c r="G60">
        <v>1569</v>
      </c>
      <c r="H60">
        <v>194</v>
      </c>
      <c r="I60">
        <v>55</v>
      </c>
      <c r="J60">
        <v>4</v>
      </c>
      <c r="K60">
        <v>612</v>
      </c>
      <c r="L60">
        <v>3.5054174633524539E-2</v>
      </c>
      <c r="M60">
        <v>0.12364563416188655</v>
      </c>
      <c r="N60">
        <v>7.2727272727272724E-2</v>
      </c>
      <c r="O60">
        <v>153</v>
      </c>
    </row>
    <row r="61" spans="1:15">
      <c r="A61">
        <v>46039</v>
      </c>
      <c r="B61" t="s">
        <v>38</v>
      </c>
      <c r="C61" t="s">
        <v>20</v>
      </c>
      <c r="D61" t="s">
        <v>17</v>
      </c>
      <c r="E61" t="s">
        <v>18</v>
      </c>
      <c r="F61" t="s">
        <v>34</v>
      </c>
      <c r="G61">
        <v>1716</v>
      </c>
      <c r="H61">
        <v>259</v>
      </c>
      <c r="I61">
        <v>195</v>
      </c>
      <c r="J61">
        <v>22</v>
      </c>
      <c r="K61">
        <v>1062</v>
      </c>
      <c r="L61">
        <v>0.11363636363636363</v>
      </c>
      <c r="M61">
        <v>0.15093240093240093</v>
      </c>
      <c r="N61">
        <v>0.11282051282051282</v>
      </c>
      <c r="O61">
        <v>48.272727272727273</v>
      </c>
    </row>
    <row r="62" spans="1:15">
      <c r="A62">
        <v>46040</v>
      </c>
      <c r="B62" t="s">
        <v>38</v>
      </c>
      <c r="C62" t="s">
        <v>20</v>
      </c>
      <c r="D62" t="s">
        <v>25</v>
      </c>
      <c r="E62" t="s">
        <v>18</v>
      </c>
      <c r="F62" t="s">
        <v>34</v>
      </c>
      <c r="G62">
        <v>1436</v>
      </c>
      <c r="H62">
        <v>334</v>
      </c>
      <c r="I62">
        <v>65</v>
      </c>
      <c r="J62">
        <v>4</v>
      </c>
      <c r="K62">
        <v>1308</v>
      </c>
      <c r="L62">
        <v>4.5264623955431751E-2</v>
      </c>
      <c r="M62">
        <v>0.23259052924791088</v>
      </c>
      <c r="N62">
        <v>6.1538461538461542E-2</v>
      </c>
      <c r="O62">
        <v>327</v>
      </c>
    </row>
    <row r="63" spans="1:15">
      <c r="A63">
        <v>46040</v>
      </c>
      <c r="B63" t="s">
        <v>38</v>
      </c>
      <c r="C63" t="s">
        <v>31</v>
      </c>
      <c r="D63" t="s">
        <v>25</v>
      </c>
      <c r="E63" t="s">
        <v>18</v>
      </c>
      <c r="F63" t="s">
        <v>19</v>
      </c>
      <c r="G63">
        <v>5305</v>
      </c>
      <c r="H63">
        <v>84</v>
      </c>
      <c r="I63">
        <v>173</v>
      </c>
      <c r="J63">
        <v>4</v>
      </c>
      <c r="K63">
        <v>1463</v>
      </c>
      <c r="L63">
        <v>3.2610744580584355E-2</v>
      </c>
      <c r="M63">
        <v>1.5834118755890671E-2</v>
      </c>
      <c r="N63">
        <v>2.3121387283236993E-2</v>
      </c>
      <c r="O63">
        <v>365.75</v>
      </c>
    </row>
    <row r="64" spans="1:15">
      <c r="A64">
        <v>46040</v>
      </c>
      <c r="B64" t="s">
        <v>38</v>
      </c>
      <c r="C64" t="s">
        <v>16</v>
      </c>
      <c r="D64" t="s">
        <v>25</v>
      </c>
      <c r="E64" t="s">
        <v>26</v>
      </c>
      <c r="F64" t="s">
        <v>34</v>
      </c>
      <c r="G64">
        <v>604</v>
      </c>
      <c r="H64">
        <v>104</v>
      </c>
      <c r="I64">
        <v>39</v>
      </c>
      <c r="J64">
        <v>4</v>
      </c>
      <c r="L64">
        <v>6.4569536423841056E-2</v>
      </c>
      <c r="M64">
        <v>0.17218543046357615</v>
      </c>
      <c r="N64">
        <v>0.10256410256410256</v>
      </c>
    </row>
    <row r="65" spans="1:15">
      <c r="A65">
        <v>46040</v>
      </c>
      <c r="B65" t="s">
        <v>38</v>
      </c>
      <c r="C65" t="s">
        <v>33</v>
      </c>
      <c r="D65" t="s">
        <v>35</v>
      </c>
      <c r="E65" t="s">
        <v>27</v>
      </c>
      <c r="F65" t="s">
        <v>30</v>
      </c>
      <c r="G65">
        <v>2833</v>
      </c>
      <c r="H65">
        <v>93</v>
      </c>
      <c r="I65">
        <v>20</v>
      </c>
      <c r="J65">
        <v>1</v>
      </c>
      <c r="K65">
        <v>623</v>
      </c>
      <c r="L65">
        <v>7.0596540769502295E-3</v>
      </c>
      <c r="M65">
        <v>3.2827391457818565E-2</v>
      </c>
      <c r="N65">
        <v>0.05</v>
      </c>
      <c r="O65">
        <v>623</v>
      </c>
    </row>
    <row r="66" spans="1:15">
      <c r="A66">
        <v>46041</v>
      </c>
      <c r="B66" t="s">
        <v>38</v>
      </c>
      <c r="C66" t="s">
        <v>24</v>
      </c>
      <c r="D66" t="s">
        <v>17</v>
      </c>
      <c r="E66" t="s">
        <v>26</v>
      </c>
      <c r="F66" t="s">
        <v>19</v>
      </c>
      <c r="G66">
        <v>5879</v>
      </c>
      <c r="H66">
        <v>196</v>
      </c>
      <c r="I66">
        <v>170</v>
      </c>
      <c r="J66">
        <v>8</v>
      </c>
      <c r="K66">
        <v>1394</v>
      </c>
      <c r="L66">
        <v>2.891648239496513E-2</v>
      </c>
      <c r="M66">
        <v>3.3339003231842149E-2</v>
      </c>
      <c r="N66">
        <v>4.7058823529411764E-2</v>
      </c>
      <c r="O66">
        <v>174.25</v>
      </c>
    </row>
    <row r="67" spans="1:15">
      <c r="A67">
        <v>46041</v>
      </c>
      <c r="B67" t="s">
        <v>38</v>
      </c>
      <c r="C67" t="s">
        <v>33</v>
      </c>
      <c r="D67" t="s">
        <v>25</v>
      </c>
      <c r="E67" t="s">
        <v>26</v>
      </c>
      <c r="F67" t="s">
        <v>19</v>
      </c>
      <c r="G67">
        <v>2075</v>
      </c>
      <c r="H67">
        <v>92</v>
      </c>
      <c r="I67">
        <v>19</v>
      </c>
      <c r="J67">
        <v>0</v>
      </c>
      <c r="K67">
        <v>798</v>
      </c>
      <c r="L67">
        <v>9.1566265060240969E-3</v>
      </c>
      <c r="M67">
        <v>4.4337349397590362E-2</v>
      </c>
      <c r="N67">
        <v>0</v>
      </c>
    </row>
    <row r="68" spans="1:15">
      <c r="A68">
        <v>46041</v>
      </c>
      <c r="B68" t="s">
        <v>38</v>
      </c>
      <c r="C68" t="s">
        <v>31</v>
      </c>
      <c r="D68" t="s">
        <v>32</v>
      </c>
      <c r="E68" t="s">
        <v>18</v>
      </c>
      <c r="F68" t="s">
        <v>30</v>
      </c>
      <c r="G68">
        <v>9401</v>
      </c>
      <c r="H68">
        <v>215</v>
      </c>
      <c r="I68">
        <v>223</v>
      </c>
      <c r="J68">
        <v>3</v>
      </c>
      <c r="K68">
        <v>1503</v>
      </c>
      <c r="L68">
        <v>2.3720880757366239E-2</v>
      </c>
      <c r="M68">
        <v>2.2869907456653547E-2</v>
      </c>
      <c r="N68">
        <v>1.3452914798206279E-2</v>
      </c>
      <c r="O68">
        <v>501</v>
      </c>
    </row>
    <row r="69" spans="1:15">
      <c r="A69">
        <v>46041</v>
      </c>
      <c r="B69" t="s">
        <v>38</v>
      </c>
      <c r="C69" t="s">
        <v>20</v>
      </c>
      <c r="D69" t="s">
        <v>35</v>
      </c>
      <c r="E69" t="s">
        <v>18</v>
      </c>
      <c r="F69" t="s">
        <v>34</v>
      </c>
      <c r="G69">
        <v>1576</v>
      </c>
      <c r="H69">
        <v>390</v>
      </c>
      <c r="I69">
        <v>118</v>
      </c>
      <c r="J69">
        <v>6</v>
      </c>
      <c r="K69">
        <v>702</v>
      </c>
      <c r="L69">
        <v>7.487309644670051E-2</v>
      </c>
      <c r="M69">
        <v>0.24746192893401014</v>
      </c>
      <c r="N69">
        <v>5.0847457627118647E-2</v>
      </c>
      <c r="O69">
        <v>117</v>
      </c>
    </row>
    <row r="70" spans="1:15">
      <c r="A70">
        <v>46041</v>
      </c>
      <c r="B70" t="s">
        <v>38</v>
      </c>
      <c r="C70" t="s">
        <v>36</v>
      </c>
      <c r="D70" t="s">
        <v>25</v>
      </c>
      <c r="E70" t="s">
        <v>27</v>
      </c>
      <c r="F70" t="s">
        <v>28</v>
      </c>
      <c r="G70">
        <v>80</v>
      </c>
      <c r="H70">
        <v>28</v>
      </c>
      <c r="I70">
        <v>21</v>
      </c>
      <c r="J70">
        <v>6</v>
      </c>
      <c r="K70">
        <v>5509</v>
      </c>
      <c r="L70">
        <v>0.26250000000000001</v>
      </c>
      <c r="M70">
        <v>0.35</v>
      </c>
      <c r="N70">
        <v>0.2857142857142857</v>
      </c>
      <c r="O70">
        <v>918.16666666666663</v>
      </c>
    </row>
    <row r="71" spans="1:15">
      <c r="A71">
        <v>46042</v>
      </c>
      <c r="B71" t="s">
        <v>38</v>
      </c>
      <c r="C71" t="s">
        <v>33</v>
      </c>
      <c r="D71" t="s">
        <v>21</v>
      </c>
      <c r="E71" t="s">
        <v>27</v>
      </c>
      <c r="F71" t="s">
        <v>30</v>
      </c>
      <c r="G71">
        <v>1752</v>
      </c>
      <c r="H71">
        <v>70</v>
      </c>
      <c r="I71">
        <v>18</v>
      </c>
      <c r="J71">
        <v>1</v>
      </c>
      <c r="K71">
        <v>678</v>
      </c>
      <c r="L71">
        <v>1.0273972602739725E-2</v>
      </c>
      <c r="M71">
        <v>3.9954337899543377E-2</v>
      </c>
      <c r="N71">
        <v>5.5555555555555552E-2</v>
      </c>
      <c r="O71">
        <v>678</v>
      </c>
    </row>
    <row r="72" spans="1:15">
      <c r="A72">
        <v>46042</v>
      </c>
      <c r="B72" t="s">
        <v>38</v>
      </c>
      <c r="C72" t="s">
        <v>31</v>
      </c>
      <c r="D72" t="s">
        <v>17</v>
      </c>
      <c r="E72" t="s">
        <v>29</v>
      </c>
      <c r="F72" t="s">
        <v>28</v>
      </c>
      <c r="G72">
        <v>6970</v>
      </c>
      <c r="H72">
        <v>116</v>
      </c>
      <c r="I72">
        <v>260</v>
      </c>
      <c r="J72">
        <v>5</v>
      </c>
      <c r="K72">
        <v>2609</v>
      </c>
      <c r="L72">
        <v>3.7302725968436153E-2</v>
      </c>
      <c r="M72">
        <v>1.6642754662840747E-2</v>
      </c>
      <c r="N72">
        <v>1.9230769230769232E-2</v>
      </c>
      <c r="O72">
        <v>521.79999999999995</v>
      </c>
    </row>
    <row r="73" spans="1:15">
      <c r="A73">
        <v>46042</v>
      </c>
      <c r="B73" t="s">
        <v>38</v>
      </c>
      <c r="C73" t="s">
        <v>20</v>
      </c>
      <c r="D73" t="s">
        <v>25</v>
      </c>
      <c r="E73" t="s">
        <v>18</v>
      </c>
      <c r="F73" t="s">
        <v>34</v>
      </c>
      <c r="G73">
        <v>798</v>
      </c>
      <c r="H73">
        <v>161</v>
      </c>
      <c r="I73">
        <v>69</v>
      </c>
      <c r="J73">
        <v>2</v>
      </c>
      <c r="K73">
        <v>1461</v>
      </c>
      <c r="L73">
        <v>8.646616541353383E-2</v>
      </c>
      <c r="M73">
        <v>0.20175438596491227</v>
      </c>
      <c r="N73">
        <v>2.8985507246376812E-2</v>
      </c>
      <c r="O73">
        <v>730.5</v>
      </c>
    </row>
    <row r="74" spans="1:15">
      <c r="A74">
        <v>46043</v>
      </c>
      <c r="B74" t="s">
        <v>38</v>
      </c>
      <c r="C74" t="s">
        <v>36</v>
      </c>
      <c r="D74" t="s">
        <v>35</v>
      </c>
      <c r="E74" t="s">
        <v>18</v>
      </c>
      <c r="F74" t="s">
        <v>34</v>
      </c>
      <c r="G74">
        <v>80</v>
      </c>
      <c r="H74">
        <v>36</v>
      </c>
      <c r="I74">
        <v>26</v>
      </c>
      <c r="J74">
        <v>5</v>
      </c>
      <c r="K74">
        <v>5797</v>
      </c>
      <c r="L74">
        <v>0.32500000000000001</v>
      </c>
      <c r="M74">
        <v>0.45</v>
      </c>
      <c r="N74">
        <v>0.19230769230769232</v>
      </c>
      <c r="O74">
        <v>1159.4000000000001</v>
      </c>
    </row>
    <row r="75" spans="1:15">
      <c r="A75">
        <v>46043</v>
      </c>
      <c r="B75" t="s">
        <v>38</v>
      </c>
      <c r="C75" t="s">
        <v>31</v>
      </c>
      <c r="D75" t="s">
        <v>17</v>
      </c>
      <c r="E75" t="s">
        <v>18</v>
      </c>
      <c r="F75" t="s">
        <v>34</v>
      </c>
      <c r="G75">
        <v>7861</v>
      </c>
      <c r="H75">
        <v>139</v>
      </c>
      <c r="I75">
        <v>306</v>
      </c>
      <c r="J75">
        <v>8</v>
      </c>
      <c r="K75">
        <v>2410</v>
      </c>
      <c r="L75">
        <v>3.8926345248696093E-2</v>
      </c>
      <c r="M75">
        <v>1.7682228724080904E-2</v>
      </c>
      <c r="N75">
        <v>2.6143790849673203E-2</v>
      </c>
      <c r="O75">
        <v>301.25</v>
      </c>
    </row>
    <row r="76" spans="1:15">
      <c r="A76">
        <v>46043</v>
      </c>
      <c r="B76" t="s">
        <v>38</v>
      </c>
      <c r="C76" t="s">
        <v>23</v>
      </c>
      <c r="D76" t="s">
        <v>25</v>
      </c>
      <c r="E76" t="s">
        <v>18</v>
      </c>
      <c r="F76" t="s">
        <v>28</v>
      </c>
      <c r="G76">
        <v>2756</v>
      </c>
      <c r="H76">
        <v>288</v>
      </c>
      <c r="I76">
        <v>91</v>
      </c>
      <c r="J76">
        <v>13</v>
      </c>
      <c r="K76">
        <v>2526</v>
      </c>
      <c r="L76">
        <v>3.3018867924528301E-2</v>
      </c>
      <c r="M76">
        <v>0.10449927431059507</v>
      </c>
      <c r="N76">
        <v>0.14285714285714285</v>
      </c>
      <c r="O76">
        <v>194.30769230769232</v>
      </c>
    </row>
    <row r="77" spans="1:15">
      <c r="A77">
        <v>46043</v>
      </c>
      <c r="B77" t="s">
        <v>38</v>
      </c>
      <c r="C77" t="s">
        <v>24</v>
      </c>
      <c r="D77" t="s">
        <v>17</v>
      </c>
      <c r="E77" t="s">
        <v>27</v>
      </c>
      <c r="F77" t="s">
        <v>30</v>
      </c>
      <c r="G77">
        <v>5582</v>
      </c>
      <c r="H77">
        <v>110</v>
      </c>
      <c r="I77">
        <v>140</v>
      </c>
      <c r="J77">
        <v>4</v>
      </c>
      <c r="K77">
        <v>1103</v>
      </c>
      <c r="L77">
        <v>2.5080616266571123E-2</v>
      </c>
      <c r="M77">
        <v>1.9706198495163023E-2</v>
      </c>
      <c r="N77">
        <v>2.8571428571428571E-2</v>
      </c>
      <c r="O77">
        <v>275.75</v>
      </c>
    </row>
    <row r="78" spans="1:15">
      <c r="A78">
        <v>46043</v>
      </c>
      <c r="B78" t="s">
        <v>38</v>
      </c>
      <c r="C78" t="s">
        <v>33</v>
      </c>
      <c r="D78" t="s">
        <v>21</v>
      </c>
      <c r="E78" t="s">
        <v>18</v>
      </c>
      <c r="F78" t="s">
        <v>22</v>
      </c>
      <c r="G78">
        <v>2220</v>
      </c>
      <c r="H78">
        <v>62</v>
      </c>
      <c r="I78">
        <v>21</v>
      </c>
      <c r="J78">
        <v>1</v>
      </c>
      <c r="K78">
        <v>979</v>
      </c>
      <c r="L78">
        <v>9.45945945945946E-3</v>
      </c>
      <c r="M78">
        <v>2.7927927927927927E-2</v>
      </c>
      <c r="N78">
        <v>4.7619047619047616E-2</v>
      </c>
      <c r="O78">
        <v>979</v>
      </c>
    </row>
    <row r="79" spans="1:15">
      <c r="A79">
        <v>46044</v>
      </c>
      <c r="B79" t="s">
        <v>39</v>
      </c>
      <c r="C79" t="s">
        <v>16</v>
      </c>
      <c r="D79" t="s">
        <v>25</v>
      </c>
      <c r="E79" t="s">
        <v>18</v>
      </c>
      <c r="F79" t="s">
        <v>28</v>
      </c>
      <c r="G79">
        <v>701</v>
      </c>
      <c r="H79">
        <v>131</v>
      </c>
      <c r="I79">
        <v>20</v>
      </c>
      <c r="J79">
        <v>1</v>
      </c>
      <c r="K79">
        <v>910</v>
      </c>
      <c r="L79">
        <v>2.8530670470756064E-2</v>
      </c>
      <c r="M79">
        <v>0.18687589158345222</v>
      </c>
      <c r="N79">
        <v>0.05</v>
      </c>
      <c r="O79">
        <v>910</v>
      </c>
    </row>
    <row r="80" spans="1:15">
      <c r="A80">
        <v>46044</v>
      </c>
      <c r="B80" t="s">
        <v>39</v>
      </c>
      <c r="C80" t="s">
        <v>36</v>
      </c>
      <c r="D80" t="s">
        <v>32</v>
      </c>
      <c r="E80" t="s">
        <v>18</v>
      </c>
      <c r="F80" t="s">
        <v>19</v>
      </c>
      <c r="G80">
        <v>80</v>
      </c>
      <c r="H80">
        <v>42</v>
      </c>
      <c r="I80">
        <v>13</v>
      </c>
      <c r="J80">
        <v>4</v>
      </c>
      <c r="K80">
        <v>7313</v>
      </c>
      <c r="L80">
        <v>0.16250000000000001</v>
      </c>
      <c r="M80">
        <v>0.52500000000000002</v>
      </c>
      <c r="N80">
        <v>0.30769230769230771</v>
      </c>
      <c r="O80">
        <v>1828.25</v>
      </c>
    </row>
    <row r="81" spans="1:15">
      <c r="A81">
        <v>46044</v>
      </c>
      <c r="B81" t="s">
        <v>39</v>
      </c>
      <c r="C81" t="s">
        <v>31</v>
      </c>
      <c r="D81" t="s">
        <v>25</v>
      </c>
      <c r="E81" t="s">
        <v>29</v>
      </c>
      <c r="F81" t="s">
        <v>19</v>
      </c>
      <c r="G81">
        <v>4407</v>
      </c>
      <c r="H81">
        <v>114</v>
      </c>
      <c r="I81">
        <v>133</v>
      </c>
      <c r="J81">
        <v>2</v>
      </c>
      <c r="K81">
        <v>1635</v>
      </c>
      <c r="L81">
        <v>3.0179260267755845E-2</v>
      </c>
      <c r="M81">
        <v>2.5867937372362152E-2</v>
      </c>
      <c r="N81">
        <v>1.5037593984962405E-2</v>
      </c>
      <c r="O81">
        <v>817.5</v>
      </c>
    </row>
    <row r="82" spans="1:15">
      <c r="A82">
        <v>46044</v>
      </c>
      <c r="B82" t="s">
        <v>39</v>
      </c>
      <c r="C82" t="s">
        <v>23</v>
      </c>
      <c r="D82" t="s">
        <v>35</v>
      </c>
      <c r="E82" t="s">
        <v>27</v>
      </c>
      <c r="F82" t="s">
        <v>30</v>
      </c>
      <c r="G82">
        <v>1722</v>
      </c>
      <c r="H82">
        <v>190</v>
      </c>
      <c r="I82">
        <v>37</v>
      </c>
      <c r="J82">
        <v>4</v>
      </c>
      <c r="K82">
        <v>2156</v>
      </c>
      <c r="L82">
        <v>2.148664343786295E-2</v>
      </c>
      <c r="M82">
        <v>0.11033681765389082</v>
      </c>
      <c r="N82">
        <v>0.10810810810810811</v>
      </c>
      <c r="O82">
        <v>539</v>
      </c>
    </row>
    <row r="83" spans="1:15">
      <c r="A83">
        <v>46044</v>
      </c>
      <c r="B83" t="s">
        <v>39</v>
      </c>
      <c r="C83" t="s">
        <v>33</v>
      </c>
      <c r="D83" t="s">
        <v>21</v>
      </c>
      <c r="E83" t="s">
        <v>18</v>
      </c>
      <c r="F83" t="s">
        <v>34</v>
      </c>
      <c r="G83">
        <v>2573</v>
      </c>
      <c r="H83">
        <v>134</v>
      </c>
      <c r="I83">
        <v>24</v>
      </c>
      <c r="J83">
        <v>0</v>
      </c>
      <c r="K83">
        <v>926</v>
      </c>
      <c r="L83">
        <v>9.3276331130975523E-3</v>
      </c>
      <c r="M83">
        <v>5.2079284881461331E-2</v>
      </c>
      <c r="N83">
        <v>0</v>
      </c>
    </row>
    <row r="84" spans="1:15">
      <c r="A84">
        <v>46045</v>
      </c>
      <c r="B84" t="s">
        <v>39</v>
      </c>
      <c r="C84" t="s">
        <v>20</v>
      </c>
      <c r="D84" t="s">
        <v>17</v>
      </c>
      <c r="E84" t="s">
        <v>18</v>
      </c>
      <c r="F84" t="s">
        <v>19</v>
      </c>
      <c r="G84">
        <v>719</v>
      </c>
      <c r="H84">
        <v>112</v>
      </c>
      <c r="I84">
        <v>51</v>
      </c>
      <c r="J84">
        <v>5</v>
      </c>
      <c r="K84">
        <v>718</v>
      </c>
      <c r="L84">
        <v>7.0931849791376914E-2</v>
      </c>
      <c r="M84">
        <v>0.15577190542420027</v>
      </c>
      <c r="N84">
        <v>9.8039215686274508E-2</v>
      </c>
      <c r="O84">
        <v>143.6</v>
      </c>
    </row>
    <row r="85" spans="1:15">
      <c r="A85">
        <v>46045</v>
      </c>
      <c r="B85" t="s">
        <v>39</v>
      </c>
      <c r="C85" t="s">
        <v>24</v>
      </c>
      <c r="D85" t="s">
        <v>25</v>
      </c>
      <c r="E85" t="s">
        <v>27</v>
      </c>
      <c r="F85" t="s">
        <v>22</v>
      </c>
      <c r="G85">
        <v>3859</v>
      </c>
      <c r="H85">
        <v>98</v>
      </c>
      <c r="I85">
        <v>64</v>
      </c>
      <c r="J85">
        <v>1</v>
      </c>
      <c r="K85">
        <v>1150</v>
      </c>
      <c r="L85">
        <v>1.6584607411246437E-2</v>
      </c>
      <c r="M85">
        <v>2.5395180098471106E-2</v>
      </c>
      <c r="N85">
        <v>1.5625E-2</v>
      </c>
      <c r="O85">
        <v>1150</v>
      </c>
    </row>
    <row r="86" spans="1:15">
      <c r="A86">
        <v>46045</v>
      </c>
      <c r="B86" t="s">
        <v>39</v>
      </c>
      <c r="C86" t="s">
        <v>16</v>
      </c>
      <c r="D86" t="s">
        <v>32</v>
      </c>
      <c r="E86" t="s">
        <v>26</v>
      </c>
      <c r="F86" t="s">
        <v>22</v>
      </c>
      <c r="G86">
        <v>620</v>
      </c>
      <c r="H86">
        <v>100</v>
      </c>
      <c r="I86">
        <v>14</v>
      </c>
      <c r="J86">
        <v>1</v>
      </c>
      <c r="K86">
        <v>649</v>
      </c>
      <c r="L86">
        <v>2.2580645161290321E-2</v>
      </c>
      <c r="M86">
        <v>0.16129032258064516</v>
      </c>
      <c r="N86">
        <v>7.1428571428571425E-2</v>
      </c>
      <c r="O86">
        <v>649</v>
      </c>
    </row>
    <row r="87" spans="1:15">
      <c r="A87">
        <v>46045</v>
      </c>
      <c r="B87" t="s">
        <v>39</v>
      </c>
      <c r="C87" t="s">
        <v>33</v>
      </c>
      <c r="D87" t="s">
        <v>25</v>
      </c>
      <c r="E87" t="s">
        <v>26</v>
      </c>
      <c r="F87" t="s">
        <v>22</v>
      </c>
      <c r="G87">
        <v>2000</v>
      </c>
      <c r="H87">
        <v>54</v>
      </c>
      <c r="I87">
        <v>14</v>
      </c>
      <c r="J87">
        <v>0</v>
      </c>
      <c r="K87">
        <v>457</v>
      </c>
      <c r="L87">
        <v>7.0000000000000001E-3</v>
      </c>
      <c r="M87">
        <v>2.7E-2</v>
      </c>
      <c r="N87">
        <v>0</v>
      </c>
    </row>
    <row r="88" spans="1:15">
      <c r="A88">
        <v>46046</v>
      </c>
      <c r="B88" t="s">
        <v>39</v>
      </c>
      <c r="C88" t="s">
        <v>24</v>
      </c>
      <c r="D88" t="s">
        <v>25</v>
      </c>
      <c r="E88" t="s">
        <v>18</v>
      </c>
      <c r="F88" t="s">
        <v>28</v>
      </c>
      <c r="G88">
        <v>5716</v>
      </c>
      <c r="H88">
        <v>101</v>
      </c>
      <c r="I88">
        <v>66</v>
      </c>
      <c r="J88">
        <v>1</v>
      </c>
      <c r="K88">
        <v>1708</v>
      </c>
      <c r="L88">
        <v>1.1546536039188244E-2</v>
      </c>
      <c r="M88">
        <v>1.7669699090272918E-2</v>
      </c>
      <c r="N88">
        <v>1.5151515151515152E-2</v>
      </c>
      <c r="O88">
        <v>1708</v>
      </c>
    </row>
    <row r="89" spans="1:15">
      <c r="A89">
        <v>46046</v>
      </c>
      <c r="B89" t="s">
        <v>39</v>
      </c>
      <c r="C89" t="s">
        <v>31</v>
      </c>
      <c r="D89" t="s">
        <v>17</v>
      </c>
      <c r="E89" t="s">
        <v>29</v>
      </c>
      <c r="F89" t="s">
        <v>30</v>
      </c>
      <c r="G89">
        <v>7012</v>
      </c>
      <c r="H89">
        <v>167</v>
      </c>
      <c r="I89">
        <v>324</v>
      </c>
      <c r="J89">
        <v>7</v>
      </c>
      <c r="K89">
        <v>2474</v>
      </c>
      <c r="L89">
        <v>4.6206503137478608E-2</v>
      </c>
      <c r="M89">
        <v>2.3816314888762121E-2</v>
      </c>
      <c r="N89">
        <v>2.1604938271604937E-2</v>
      </c>
      <c r="O89">
        <v>353.42857142857144</v>
      </c>
    </row>
    <row r="90" spans="1:15">
      <c r="A90">
        <v>46046</v>
      </c>
      <c r="B90" t="s">
        <v>39</v>
      </c>
      <c r="C90" t="s">
        <v>33</v>
      </c>
      <c r="D90" t="s">
        <v>25</v>
      </c>
      <c r="E90" t="s">
        <v>18</v>
      </c>
      <c r="F90" t="s">
        <v>22</v>
      </c>
      <c r="G90">
        <v>1397</v>
      </c>
      <c r="H90">
        <v>36</v>
      </c>
      <c r="I90">
        <v>12</v>
      </c>
      <c r="J90">
        <v>0</v>
      </c>
      <c r="K90">
        <v>457</v>
      </c>
      <c r="L90">
        <v>8.5898353614889053E-3</v>
      </c>
      <c r="M90">
        <v>2.5769506084466716E-2</v>
      </c>
      <c r="N90">
        <v>0</v>
      </c>
    </row>
    <row r="91" spans="1:15">
      <c r="A91">
        <v>46046</v>
      </c>
      <c r="B91" t="s">
        <v>39</v>
      </c>
      <c r="C91" t="s">
        <v>16</v>
      </c>
      <c r="D91" t="s">
        <v>25</v>
      </c>
      <c r="E91" t="s">
        <v>27</v>
      </c>
      <c r="F91" t="s">
        <v>19</v>
      </c>
      <c r="G91">
        <v>1116</v>
      </c>
      <c r="H91">
        <v>213</v>
      </c>
      <c r="I91">
        <v>57</v>
      </c>
      <c r="J91">
        <v>6</v>
      </c>
      <c r="K91">
        <v>1115</v>
      </c>
      <c r="L91">
        <v>5.1075268817204304E-2</v>
      </c>
      <c r="M91">
        <v>0.19086021505376344</v>
      </c>
      <c r="N91">
        <v>0.10526315789473684</v>
      </c>
      <c r="O91">
        <v>185.83333333333334</v>
      </c>
    </row>
    <row r="92" spans="1:15">
      <c r="A92">
        <v>46047</v>
      </c>
      <c r="B92" t="s">
        <v>39</v>
      </c>
      <c r="C92" t="s">
        <v>23</v>
      </c>
      <c r="D92" t="s">
        <v>35</v>
      </c>
      <c r="E92" t="s">
        <v>27</v>
      </c>
      <c r="F92" t="s">
        <v>22</v>
      </c>
      <c r="G92">
        <v>993</v>
      </c>
      <c r="H92">
        <v>84</v>
      </c>
      <c r="I92">
        <v>17</v>
      </c>
      <c r="J92">
        <v>1</v>
      </c>
      <c r="K92">
        <v>3015</v>
      </c>
      <c r="L92">
        <v>1.7119838872104734E-2</v>
      </c>
      <c r="M92">
        <v>8.4592145015105744E-2</v>
      </c>
      <c r="N92">
        <v>5.8823529411764705E-2</v>
      </c>
      <c r="O92">
        <v>3015</v>
      </c>
    </row>
    <row r="93" spans="1:15">
      <c r="A93">
        <v>46047</v>
      </c>
      <c r="B93" t="s">
        <v>39</v>
      </c>
      <c r="C93" t="s">
        <v>20</v>
      </c>
      <c r="D93" t="s">
        <v>21</v>
      </c>
      <c r="E93" t="s">
        <v>26</v>
      </c>
      <c r="F93" t="s">
        <v>30</v>
      </c>
      <c r="G93">
        <v>403</v>
      </c>
      <c r="H93">
        <v>81</v>
      </c>
      <c r="I93">
        <v>22</v>
      </c>
      <c r="J93">
        <v>2</v>
      </c>
      <c r="K93">
        <v>874</v>
      </c>
      <c r="L93">
        <v>5.4590570719602979E-2</v>
      </c>
      <c r="M93">
        <v>0.20099255583126552</v>
      </c>
      <c r="N93">
        <v>9.0909090909090912E-2</v>
      </c>
      <c r="O93">
        <v>437</v>
      </c>
    </row>
    <row r="94" spans="1:15">
      <c r="A94">
        <v>46047</v>
      </c>
      <c r="B94" t="s">
        <v>39</v>
      </c>
      <c r="C94" t="s">
        <v>16</v>
      </c>
      <c r="D94" t="s">
        <v>25</v>
      </c>
      <c r="E94" t="s">
        <v>18</v>
      </c>
      <c r="F94" t="s">
        <v>19</v>
      </c>
      <c r="G94">
        <v>509</v>
      </c>
      <c r="H94">
        <v>100</v>
      </c>
      <c r="I94">
        <v>21</v>
      </c>
      <c r="J94">
        <v>2</v>
      </c>
      <c r="K94">
        <v>1093</v>
      </c>
      <c r="L94">
        <v>4.1257367387033402E-2</v>
      </c>
      <c r="M94">
        <v>0.19646365422396855</v>
      </c>
      <c r="N94">
        <v>9.5238095238095233E-2</v>
      </c>
      <c r="O94">
        <v>546.5</v>
      </c>
    </row>
    <row r="95" spans="1:15">
      <c r="A95">
        <v>46047</v>
      </c>
      <c r="B95" t="s">
        <v>39</v>
      </c>
      <c r="C95" t="s">
        <v>24</v>
      </c>
      <c r="D95" t="s">
        <v>25</v>
      </c>
      <c r="E95" t="s">
        <v>18</v>
      </c>
      <c r="F95" t="s">
        <v>22</v>
      </c>
      <c r="G95">
        <v>2519</v>
      </c>
      <c r="H95">
        <v>46</v>
      </c>
      <c r="I95">
        <v>29</v>
      </c>
      <c r="J95">
        <v>0</v>
      </c>
      <c r="K95">
        <v>1711</v>
      </c>
      <c r="L95">
        <v>1.1512504962286622E-2</v>
      </c>
      <c r="M95">
        <v>1.8261214767764985E-2</v>
      </c>
      <c r="N95">
        <v>0</v>
      </c>
    </row>
    <row r="96" spans="1:15">
      <c r="A96">
        <v>46048</v>
      </c>
      <c r="B96" t="s">
        <v>39</v>
      </c>
      <c r="C96" t="s">
        <v>24</v>
      </c>
      <c r="D96" t="s">
        <v>25</v>
      </c>
      <c r="E96" t="s">
        <v>26</v>
      </c>
      <c r="F96" t="s">
        <v>22</v>
      </c>
      <c r="G96">
        <v>3184</v>
      </c>
      <c r="H96">
        <v>62</v>
      </c>
      <c r="I96">
        <v>39</v>
      </c>
      <c r="J96">
        <v>0</v>
      </c>
      <c r="K96">
        <v>1577</v>
      </c>
      <c r="L96">
        <v>1.2248743718592964E-2</v>
      </c>
      <c r="M96">
        <v>1.9472361809045227E-2</v>
      </c>
      <c r="N96">
        <v>0</v>
      </c>
    </row>
    <row r="97" spans="1:15">
      <c r="A97">
        <v>46048</v>
      </c>
      <c r="B97" t="s">
        <v>39</v>
      </c>
      <c r="C97" t="s">
        <v>33</v>
      </c>
      <c r="D97" t="s">
        <v>32</v>
      </c>
      <c r="E97" t="s">
        <v>18</v>
      </c>
      <c r="F97" t="s">
        <v>28</v>
      </c>
      <c r="G97">
        <v>2381</v>
      </c>
      <c r="H97">
        <v>76</v>
      </c>
      <c r="I97">
        <v>12</v>
      </c>
      <c r="J97">
        <v>0</v>
      </c>
      <c r="K97">
        <v>659</v>
      </c>
      <c r="L97">
        <v>5.03989920201596E-3</v>
      </c>
      <c r="M97">
        <v>3.1919361612767747E-2</v>
      </c>
      <c r="N97">
        <v>0</v>
      </c>
    </row>
    <row r="98" spans="1:15">
      <c r="A98">
        <v>46048</v>
      </c>
      <c r="B98" t="s">
        <v>39</v>
      </c>
      <c r="C98" t="s">
        <v>23</v>
      </c>
      <c r="D98" t="s">
        <v>25</v>
      </c>
      <c r="E98" t="s">
        <v>27</v>
      </c>
      <c r="F98" t="s">
        <v>34</v>
      </c>
      <c r="G98">
        <v>1586</v>
      </c>
      <c r="H98">
        <v>186</v>
      </c>
      <c r="I98">
        <v>103</v>
      </c>
      <c r="J98">
        <v>9</v>
      </c>
      <c r="K98">
        <v>1671</v>
      </c>
      <c r="L98">
        <v>6.4943253467843631E-2</v>
      </c>
      <c r="M98">
        <v>0.11727616645649433</v>
      </c>
      <c r="N98">
        <v>8.7378640776699032E-2</v>
      </c>
      <c r="O98">
        <v>185.66666666666666</v>
      </c>
    </row>
    <row r="99" spans="1:15">
      <c r="A99">
        <v>46048</v>
      </c>
      <c r="B99" t="s">
        <v>39</v>
      </c>
      <c r="C99" t="s">
        <v>16</v>
      </c>
      <c r="D99" t="s">
        <v>17</v>
      </c>
      <c r="E99" t="s">
        <v>26</v>
      </c>
      <c r="F99" t="s">
        <v>34</v>
      </c>
      <c r="G99">
        <v>1398</v>
      </c>
      <c r="H99">
        <v>278</v>
      </c>
      <c r="I99">
        <v>94</v>
      </c>
      <c r="J99">
        <v>13</v>
      </c>
      <c r="K99">
        <v>1105</v>
      </c>
      <c r="L99">
        <v>6.7238912732474967E-2</v>
      </c>
      <c r="M99">
        <v>0.19885550786838341</v>
      </c>
      <c r="N99">
        <v>0.13829787234042554</v>
      </c>
      <c r="O99">
        <v>85</v>
      </c>
    </row>
    <row r="100" spans="1:15">
      <c r="A100">
        <v>46049</v>
      </c>
      <c r="B100" t="s">
        <v>39</v>
      </c>
      <c r="C100" t="s">
        <v>23</v>
      </c>
      <c r="D100" t="s">
        <v>17</v>
      </c>
      <c r="E100" t="s">
        <v>18</v>
      </c>
      <c r="F100" t="s">
        <v>22</v>
      </c>
      <c r="G100">
        <v>716</v>
      </c>
      <c r="H100">
        <v>46</v>
      </c>
      <c r="I100">
        <v>31</v>
      </c>
      <c r="J100">
        <v>5</v>
      </c>
      <c r="K100">
        <v>1563</v>
      </c>
      <c r="L100">
        <v>4.3296089385474863E-2</v>
      </c>
      <c r="M100">
        <v>6.4245810055865923E-2</v>
      </c>
      <c r="N100">
        <v>0.16129032258064516</v>
      </c>
      <c r="O100">
        <v>312.60000000000002</v>
      </c>
    </row>
    <row r="101" spans="1:15">
      <c r="A101">
        <v>46049</v>
      </c>
      <c r="B101" t="s">
        <v>39</v>
      </c>
      <c r="C101" t="s">
        <v>20</v>
      </c>
      <c r="D101" t="s">
        <v>25</v>
      </c>
      <c r="E101" t="s">
        <v>26</v>
      </c>
      <c r="F101" t="s">
        <v>19</v>
      </c>
      <c r="G101">
        <v>1238</v>
      </c>
      <c r="H101">
        <v>222</v>
      </c>
      <c r="I101">
        <v>90</v>
      </c>
      <c r="J101">
        <v>6</v>
      </c>
      <c r="K101">
        <v>754</v>
      </c>
      <c r="L101">
        <v>7.2697899838449112E-2</v>
      </c>
      <c r="M101">
        <v>0.17932148626817448</v>
      </c>
      <c r="N101">
        <v>6.6666666666666666E-2</v>
      </c>
      <c r="O101">
        <v>125.66666666666667</v>
      </c>
    </row>
    <row r="102" spans="1:15">
      <c r="A102">
        <v>46049</v>
      </c>
      <c r="B102" t="s">
        <v>39</v>
      </c>
      <c r="C102" t="s">
        <v>24</v>
      </c>
      <c r="D102" t="s">
        <v>35</v>
      </c>
      <c r="E102" t="s">
        <v>18</v>
      </c>
      <c r="F102" t="s">
        <v>19</v>
      </c>
      <c r="G102">
        <v>3692</v>
      </c>
      <c r="H102">
        <v>99</v>
      </c>
      <c r="I102">
        <v>46</v>
      </c>
      <c r="J102">
        <v>1</v>
      </c>
      <c r="K102">
        <v>1429</v>
      </c>
      <c r="L102">
        <v>1.2459371614301192E-2</v>
      </c>
      <c r="M102">
        <v>2.6814734561213433E-2</v>
      </c>
      <c r="N102">
        <v>2.1739130434782608E-2</v>
      </c>
      <c r="O102">
        <v>1429</v>
      </c>
    </row>
    <row r="103" spans="1:15">
      <c r="A103">
        <v>46049</v>
      </c>
      <c r="B103" t="s">
        <v>39</v>
      </c>
      <c r="C103" t="s">
        <v>31</v>
      </c>
      <c r="D103" t="s">
        <v>25</v>
      </c>
      <c r="E103" t="s">
        <v>18</v>
      </c>
      <c r="F103" t="s">
        <v>22</v>
      </c>
      <c r="G103">
        <v>8636</v>
      </c>
      <c r="H103">
        <v>94</v>
      </c>
      <c r="I103">
        <v>206</v>
      </c>
      <c r="J103">
        <v>2</v>
      </c>
      <c r="K103">
        <v>2089</v>
      </c>
      <c r="L103">
        <v>2.3853635942566002E-2</v>
      </c>
      <c r="M103">
        <v>1.0884668828161186E-2</v>
      </c>
      <c r="N103">
        <v>9.7087378640776691E-3</v>
      </c>
      <c r="O103">
        <v>1044.5</v>
      </c>
    </row>
    <row r="104" spans="1:15">
      <c r="A104">
        <v>46050</v>
      </c>
      <c r="B104" t="s">
        <v>39</v>
      </c>
      <c r="C104" t="s">
        <v>33</v>
      </c>
      <c r="D104" t="s">
        <v>21</v>
      </c>
      <c r="E104" t="s">
        <v>29</v>
      </c>
      <c r="F104" t="s">
        <v>22</v>
      </c>
      <c r="G104">
        <v>2814</v>
      </c>
      <c r="H104">
        <v>90</v>
      </c>
      <c r="I104">
        <v>17</v>
      </c>
      <c r="J104">
        <v>0</v>
      </c>
      <c r="K104">
        <v>737</v>
      </c>
      <c r="L104">
        <v>6.0412224591329068E-3</v>
      </c>
      <c r="M104">
        <v>3.1982942430703626E-2</v>
      </c>
      <c r="N104">
        <v>0</v>
      </c>
    </row>
    <row r="105" spans="1:15">
      <c r="A105">
        <v>46050</v>
      </c>
      <c r="B105" t="s">
        <v>39</v>
      </c>
      <c r="C105" t="s">
        <v>24</v>
      </c>
      <c r="D105" t="s">
        <v>17</v>
      </c>
      <c r="E105" t="s">
        <v>26</v>
      </c>
      <c r="F105" t="s">
        <v>28</v>
      </c>
      <c r="G105">
        <v>9691</v>
      </c>
      <c r="H105">
        <v>253</v>
      </c>
      <c r="I105">
        <v>149</v>
      </c>
      <c r="J105">
        <v>4</v>
      </c>
      <c r="K105">
        <v>793</v>
      </c>
      <c r="L105">
        <v>1.5375090289959757E-2</v>
      </c>
      <c r="M105">
        <v>2.6106696935300794E-2</v>
      </c>
      <c r="N105">
        <v>2.6845637583892617E-2</v>
      </c>
      <c r="O105">
        <v>198.25</v>
      </c>
    </row>
    <row r="106" spans="1:15">
      <c r="A106">
        <v>46050</v>
      </c>
      <c r="B106" t="s">
        <v>39</v>
      </c>
      <c r="C106" t="s">
        <v>23</v>
      </c>
      <c r="D106" t="s">
        <v>25</v>
      </c>
      <c r="E106" t="s">
        <v>26</v>
      </c>
      <c r="F106" t="s">
        <v>34</v>
      </c>
      <c r="G106">
        <v>1546</v>
      </c>
      <c r="H106">
        <v>195</v>
      </c>
      <c r="I106">
        <v>64</v>
      </c>
      <c r="J106">
        <v>7</v>
      </c>
      <c r="K106">
        <v>2693</v>
      </c>
      <c r="L106">
        <v>4.1397153945666239E-2</v>
      </c>
      <c r="M106">
        <v>0.1261319534282018</v>
      </c>
      <c r="N106">
        <v>0.109375</v>
      </c>
      <c r="O106">
        <v>384.71428571428572</v>
      </c>
    </row>
    <row r="107" spans="1:15">
      <c r="A107">
        <v>46050</v>
      </c>
      <c r="B107" t="s">
        <v>39</v>
      </c>
      <c r="C107" t="s">
        <v>16</v>
      </c>
      <c r="D107" t="s">
        <v>21</v>
      </c>
      <c r="E107" t="s">
        <v>26</v>
      </c>
      <c r="F107" t="s">
        <v>30</v>
      </c>
      <c r="G107">
        <v>706</v>
      </c>
      <c r="H107">
        <v>132</v>
      </c>
      <c r="I107">
        <v>30</v>
      </c>
      <c r="J107">
        <v>4</v>
      </c>
      <c r="K107">
        <v>1294</v>
      </c>
      <c r="L107">
        <v>4.2492917847025496E-2</v>
      </c>
      <c r="M107">
        <v>0.18696883852691218</v>
      </c>
      <c r="N107">
        <v>0.13333333333333333</v>
      </c>
      <c r="O107">
        <v>323.5</v>
      </c>
    </row>
    <row r="108" spans="1:15">
      <c r="A108">
        <v>46050</v>
      </c>
      <c r="B108" t="s">
        <v>39</v>
      </c>
      <c r="C108" t="s">
        <v>20</v>
      </c>
      <c r="D108" t="s">
        <v>25</v>
      </c>
      <c r="E108" t="s">
        <v>26</v>
      </c>
      <c r="F108" t="s">
        <v>28</v>
      </c>
      <c r="G108">
        <v>1396</v>
      </c>
      <c r="H108">
        <v>200</v>
      </c>
      <c r="I108">
        <v>93</v>
      </c>
      <c r="J108">
        <v>4</v>
      </c>
      <c r="K108">
        <v>1561</v>
      </c>
      <c r="L108">
        <v>6.6618911174785106E-2</v>
      </c>
      <c r="M108">
        <v>0.14326647564469913</v>
      </c>
      <c r="N108">
        <v>4.3010752688172046E-2</v>
      </c>
      <c r="O108">
        <v>390.25</v>
      </c>
    </row>
    <row r="109" spans="1:15">
      <c r="A109">
        <v>46051</v>
      </c>
      <c r="B109" t="s">
        <v>40</v>
      </c>
      <c r="C109" t="s">
        <v>23</v>
      </c>
      <c r="D109" t="s">
        <v>32</v>
      </c>
      <c r="E109" t="s">
        <v>27</v>
      </c>
      <c r="F109" t="s">
        <v>34</v>
      </c>
      <c r="G109">
        <v>1264</v>
      </c>
      <c r="H109">
        <v>162</v>
      </c>
      <c r="I109">
        <v>56</v>
      </c>
      <c r="J109">
        <v>8</v>
      </c>
      <c r="K109">
        <v>1754</v>
      </c>
      <c r="L109">
        <v>4.4303797468354431E-2</v>
      </c>
      <c r="M109">
        <v>0.12816455696202531</v>
      </c>
      <c r="N109">
        <v>0.14285714285714285</v>
      </c>
      <c r="O109">
        <v>219.25</v>
      </c>
    </row>
    <row r="110" spans="1:15">
      <c r="A110">
        <v>46051</v>
      </c>
      <c r="B110" t="s">
        <v>40</v>
      </c>
      <c r="C110" t="s">
        <v>36</v>
      </c>
      <c r="D110" t="s">
        <v>35</v>
      </c>
      <c r="E110" t="s">
        <v>27</v>
      </c>
      <c r="F110" t="s">
        <v>34</v>
      </c>
      <c r="G110">
        <v>85</v>
      </c>
      <c r="H110">
        <v>42</v>
      </c>
      <c r="I110">
        <v>29</v>
      </c>
      <c r="J110">
        <v>11</v>
      </c>
      <c r="K110">
        <v>3550</v>
      </c>
      <c r="L110">
        <v>0.3411764705882353</v>
      </c>
      <c r="M110">
        <v>0.49411764705882355</v>
      </c>
      <c r="N110">
        <v>0.37931034482758619</v>
      </c>
      <c r="O110">
        <v>322.72727272727275</v>
      </c>
    </row>
    <row r="111" spans="1:15">
      <c r="A111">
        <v>46051</v>
      </c>
      <c r="B111" t="s">
        <v>40</v>
      </c>
      <c r="C111" t="s">
        <v>33</v>
      </c>
      <c r="D111" t="s">
        <v>17</v>
      </c>
      <c r="E111" t="s">
        <v>27</v>
      </c>
      <c r="F111" t="s">
        <v>22</v>
      </c>
      <c r="G111">
        <v>748</v>
      </c>
      <c r="H111">
        <v>18</v>
      </c>
      <c r="I111">
        <v>7</v>
      </c>
      <c r="J111">
        <v>0</v>
      </c>
      <c r="K111">
        <v>621</v>
      </c>
      <c r="L111">
        <v>9.3582887700534752E-3</v>
      </c>
      <c r="M111">
        <v>2.4064171122994651E-2</v>
      </c>
      <c r="N111">
        <v>0</v>
      </c>
    </row>
    <row r="112" spans="1:15">
      <c r="A112">
        <v>46052</v>
      </c>
      <c r="B112" t="s">
        <v>40</v>
      </c>
      <c r="C112" t="s">
        <v>23</v>
      </c>
      <c r="D112" t="s">
        <v>25</v>
      </c>
      <c r="E112" t="s">
        <v>18</v>
      </c>
      <c r="F112" t="s">
        <v>34</v>
      </c>
      <c r="G112">
        <v>1334</v>
      </c>
      <c r="H112">
        <v>163</v>
      </c>
      <c r="I112">
        <v>67</v>
      </c>
      <c r="J112">
        <v>8</v>
      </c>
      <c r="K112">
        <v>1690</v>
      </c>
      <c r="L112">
        <v>5.0224887556221891E-2</v>
      </c>
      <c r="M112">
        <v>0.12218890554722639</v>
      </c>
      <c r="N112">
        <v>0.11940298507462686</v>
      </c>
      <c r="O112">
        <v>211.25</v>
      </c>
    </row>
    <row r="113" spans="1:15">
      <c r="A113">
        <v>46052</v>
      </c>
      <c r="B113" t="s">
        <v>40</v>
      </c>
      <c r="C113" t="s">
        <v>24</v>
      </c>
      <c r="D113" t="s">
        <v>17</v>
      </c>
      <c r="E113" t="s">
        <v>18</v>
      </c>
      <c r="F113" t="s">
        <v>19</v>
      </c>
      <c r="G113">
        <v>3295</v>
      </c>
      <c r="H113">
        <v>97</v>
      </c>
      <c r="I113">
        <v>110</v>
      </c>
      <c r="J113">
        <v>2</v>
      </c>
      <c r="K113">
        <v>1419</v>
      </c>
      <c r="L113">
        <v>3.3383915022761758E-2</v>
      </c>
      <c r="M113">
        <v>2.9438543247344462E-2</v>
      </c>
      <c r="N113">
        <v>1.8181818181818181E-2</v>
      </c>
      <c r="O113">
        <v>709.5</v>
      </c>
    </row>
    <row r="114" spans="1:15">
      <c r="A114">
        <v>46052</v>
      </c>
      <c r="B114" t="s">
        <v>40</v>
      </c>
      <c r="C114" t="s">
        <v>33</v>
      </c>
      <c r="D114" t="s">
        <v>25</v>
      </c>
      <c r="E114" t="s">
        <v>27</v>
      </c>
      <c r="F114" t="s">
        <v>34</v>
      </c>
      <c r="G114">
        <v>2234</v>
      </c>
      <c r="H114">
        <v>120</v>
      </c>
      <c r="I114">
        <v>16</v>
      </c>
      <c r="J114">
        <v>0</v>
      </c>
      <c r="K114">
        <v>716</v>
      </c>
      <c r="L114">
        <v>7.162041181736795E-3</v>
      </c>
      <c r="M114">
        <v>5.371530886302596E-2</v>
      </c>
      <c r="N114">
        <v>0</v>
      </c>
    </row>
    <row r="115" spans="1:15">
      <c r="A115">
        <v>46052</v>
      </c>
      <c r="B115" t="s">
        <v>40</v>
      </c>
      <c r="C115" t="s">
        <v>16</v>
      </c>
      <c r="D115" t="s">
        <v>25</v>
      </c>
      <c r="E115" t="s">
        <v>18</v>
      </c>
      <c r="F115" t="s">
        <v>22</v>
      </c>
      <c r="G115">
        <v>1365</v>
      </c>
      <c r="H115">
        <v>127</v>
      </c>
      <c r="I115">
        <v>40</v>
      </c>
      <c r="J115">
        <v>4</v>
      </c>
      <c r="K115">
        <v>817</v>
      </c>
      <c r="L115">
        <v>2.9304029304029304E-2</v>
      </c>
      <c r="M115">
        <v>9.3040293040293043E-2</v>
      </c>
      <c r="N115">
        <v>0.1</v>
      </c>
      <c r="O115">
        <v>204.25</v>
      </c>
    </row>
    <row r="116" spans="1:15">
      <c r="A116">
        <v>46053</v>
      </c>
      <c r="B116" t="s">
        <v>40</v>
      </c>
      <c r="C116" t="s">
        <v>23</v>
      </c>
      <c r="D116" t="s">
        <v>21</v>
      </c>
      <c r="E116" t="s">
        <v>27</v>
      </c>
      <c r="F116" t="s">
        <v>19</v>
      </c>
      <c r="G116">
        <v>1102</v>
      </c>
      <c r="H116">
        <v>97</v>
      </c>
      <c r="I116">
        <v>59</v>
      </c>
      <c r="J116">
        <v>10</v>
      </c>
      <c r="K116">
        <v>2371</v>
      </c>
      <c r="L116">
        <v>5.3539019963702361E-2</v>
      </c>
      <c r="M116">
        <v>8.8021778584392016E-2</v>
      </c>
      <c r="N116">
        <v>0.16949152542372881</v>
      </c>
      <c r="O116">
        <v>237.1</v>
      </c>
    </row>
    <row r="117" spans="1:15">
      <c r="A117">
        <v>46053</v>
      </c>
      <c r="B117" t="s">
        <v>40</v>
      </c>
      <c r="C117" t="s">
        <v>24</v>
      </c>
      <c r="D117" t="s">
        <v>25</v>
      </c>
      <c r="E117" t="s">
        <v>29</v>
      </c>
      <c r="F117" t="s">
        <v>30</v>
      </c>
      <c r="G117">
        <v>5086</v>
      </c>
      <c r="H117">
        <v>122</v>
      </c>
      <c r="I117">
        <v>72</v>
      </c>
      <c r="J117">
        <v>1</v>
      </c>
      <c r="K117">
        <v>1861</v>
      </c>
      <c r="L117">
        <v>1.4156508061344868E-2</v>
      </c>
      <c r="M117">
        <v>2.3987416437278804E-2</v>
      </c>
      <c r="N117">
        <v>1.3888888888888888E-2</v>
      </c>
      <c r="O117">
        <v>1861</v>
      </c>
    </row>
    <row r="118" spans="1:15">
      <c r="A118">
        <v>46053</v>
      </c>
      <c r="B118" t="s">
        <v>40</v>
      </c>
      <c r="C118" t="s">
        <v>16</v>
      </c>
      <c r="D118" t="s">
        <v>25</v>
      </c>
      <c r="E118" t="s">
        <v>26</v>
      </c>
      <c r="F118" t="s">
        <v>19</v>
      </c>
      <c r="G118">
        <v>1284</v>
      </c>
      <c r="H118">
        <v>229</v>
      </c>
      <c r="I118">
        <v>84</v>
      </c>
      <c r="J118">
        <v>8</v>
      </c>
      <c r="K118">
        <v>1313</v>
      </c>
      <c r="L118">
        <v>6.5420560747663545E-2</v>
      </c>
      <c r="M118">
        <v>0.17834890965732086</v>
      </c>
      <c r="N118">
        <v>9.5238095238095233E-2</v>
      </c>
      <c r="O118">
        <v>164.125</v>
      </c>
    </row>
    <row r="119" spans="1:15">
      <c r="A119">
        <v>46053</v>
      </c>
      <c r="B119" t="s">
        <v>40</v>
      </c>
      <c r="C119" t="s">
        <v>33</v>
      </c>
      <c r="D119" t="s">
        <v>21</v>
      </c>
      <c r="E119" t="s">
        <v>18</v>
      </c>
      <c r="F119" t="s">
        <v>30</v>
      </c>
      <c r="G119">
        <v>3406</v>
      </c>
      <c r="H119">
        <v>93</v>
      </c>
      <c r="I119">
        <v>32</v>
      </c>
      <c r="J119">
        <v>2</v>
      </c>
      <c r="K119">
        <v>578</v>
      </c>
      <c r="L119">
        <v>9.3951849677040514E-3</v>
      </c>
      <c r="M119">
        <v>2.7304756312389902E-2</v>
      </c>
      <c r="N119">
        <v>6.25E-2</v>
      </c>
      <c r="O119">
        <v>289</v>
      </c>
    </row>
    <row r="120" spans="1:15">
      <c r="A120">
        <v>46054</v>
      </c>
      <c r="B120" t="s">
        <v>40</v>
      </c>
      <c r="C120" t="s">
        <v>31</v>
      </c>
      <c r="D120" t="s">
        <v>35</v>
      </c>
      <c r="E120" t="s">
        <v>18</v>
      </c>
      <c r="F120" t="s">
        <v>28</v>
      </c>
      <c r="G120">
        <v>12556</v>
      </c>
      <c r="H120">
        <v>99</v>
      </c>
      <c r="I120">
        <v>205</v>
      </c>
      <c r="J120">
        <v>2</v>
      </c>
      <c r="K120">
        <v>1579</v>
      </c>
      <c r="L120">
        <v>1.632685568652437E-2</v>
      </c>
      <c r="M120">
        <v>7.8846766486142077E-3</v>
      </c>
      <c r="N120">
        <v>9.7560975609756097E-3</v>
      </c>
      <c r="O120">
        <v>789.5</v>
      </c>
    </row>
    <row r="121" spans="1:15">
      <c r="A121">
        <v>46054</v>
      </c>
      <c r="B121" t="s">
        <v>40</v>
      </c>
      <c r="C121" t="s">
        <v>23</v>
      </c>
      <c r="D121" t="s">
        <v>32</v>
      </c>
      <c r="E121" t="s">
        <v>18</v>
      </c>
      <c r="F121" t="s">
        <v>30</v>
      </c>
      <c r="G121">
        <v>1328</v>
      </c>
      <c r="H121">
        <v>146</v>
      </c>
      <c r="I121">
        <v>26</v>
      </c>
      <c r="J121">
        <v>2</v>
      </c>
      <c r="K121">
        <v>2326</v>
      </c>
      <c r="L121">
        <v>1.9578313253012049E-2</v>
      </c>
      <c r="M121">
        <v>0.10993975903614457</v>
      </c>
      <c r="N121">
        <v>7.6923076923076927E-2</v>
      </c>
      <c r="O121">
        <v>1163</v>
      </c>
    </row>
    <row r="122" spans="1:15">
      <c r="A122">
        <v>46054</v>
      </c>
      <c r="B122" t="s">
        <v>40</v>
      </c>
      <c r="C122" t="s">
        <v>20</v>
      </c>
      <c r="D122" t="s">
        <v>21</v>
      </c>
      <c r="E122" t="s">
        <v>29</v>
      </c>
      <c r="F122" t="s">
        <v>22</v>
      </c>
      <c r="G122">
        <v>1616</v>
      </c>
      <c r="H122">
        <v>223</v>
      </c>
      <c r="I122">
        <v>95</v>
      </c>
      <c r="J122">
        <v>9</v>
      </c>
      <c r="K122">
        <v>852</v>
      </c>
      <c r="L122">
        <v>5.8787128712871284E-2</v>
      </c>
      <c r="M122">
        <v>0.13799504950495051</v>
      </c>
      <c r="N122">
        <v>9.4736842105263161E-2</v>
      </c>
      <c r="O122">
        <v>94.666666666666671</v>
      </c>
    </row>
    <row r="123" spans="1:15">
      <c r="A123">
        <v>46054</v>
      </c>
      <c r="B123" t="s">
        <v>40</v>
      </c>
      <c r="C123" t="s">
        <v>16</v>
      </c>
      <c r="D123" t="s">
        <v>25</v>
      </c>
      <c r="E123" t="s">
        <v>18</v>
      </c>
      <c r="F123" t="s">
        <v>30</v>
      </c>
      <c r="G123">
        <v>626</v>
      </c>
      <c r="H123">
        <v>136</v>
      </c>
      <c r="I123">
        <v>27</v>
      </c>
      <c r="J123">
        <v>2</v>
      </c>
      <c r="K123">
        <v>1306</v>
      </c>
      <c r="L123">
        <v>4.3130990415335461E-2</v>
      </c>
      <c r="M123">
        <v>0.21725239616613418</v>
      </c>
      <c r="N123">
        <v>7.407407407407407E-2</v>
      </c>
      <c r="O123">
        <v>653</v>
      </c>
    </row>
    <row r="124" spans="1:15">
      <c r="A124">
        <v>46055</v>
      </c>
      <c r="B124" t="s">
        <v>40</v>
      </c>
      <c r="C124" t="s">
        <v>20</v>
      </c>
      <c r="D124" t="s">
        <v>25</v>
      </c>
      <c r="E124" t="s">
        <v>26</v>
      </c>
      <c r="F124" t="s">
        <v>19</v>
      </c>
      <c r="G124">
        <v>1949</v>
      </c>
      <c r="H124">
        <v>462</v>
      </c>
      <c r="I124">
        <v>140</v>
      </c>
      <c r="J124">
        <v>10</v>
      </c>
      <c r="K124">
        <v>725</v>
      </c>
      <c r="L124">
        <v>7.1831708568496661E-2</v>
      </c>
      <c r="M124">
        <v>0.237044638276039</v>
      </c>
      <c r="N124">
        <v>7.1428571428571425E-2</v>
      </c>
      <c r="O124">
        <v>72.5</v>
      </c>
    </row>
    <row r="125" spans="1:15">
      <c r="A125">
        <v>46055</v>
      </c>
      <c r="B125" t="s">
        <v>40</v>
      </c>
      <c r="C125" t="s">
        <v>23</v>
      </c>
      <c r="D125" t="s">
        <v>21</v>
      </c>
      <c r="E125" t="s">
        <v>18</v>
      </c>
      <c r="F125" t="s">
        <v>30</v>
      </c>
      <c r="G125">
        <v>1730</v>
      </c>
      <c r="H125">
        <v>174</v>
      </c>
      <c r="I125">
        <v>93</v>
      </c>
      <c r="J125">
        <v>17</v>
      </c>
      <c r="K125">
        <v>2692</v>
      </c>
      <c r="L125">
        <v>5.3757225433526012E-2</v>
      </c>
      <c r="M125">
        <v>0.10057803468208093</v>
      </c>
      <c r="N125">
        <v>0.18279569892473119</v>
      </c>
      <c r="O125">
        <v>158.35294117647058</v>
      </c>
    </row>
    <row r="126" spans="1:15">
      <c r="A126">
        <v>46055</v>
      </c>
      <c r="B126" t="s">
        <v>40</v>
      </c>
      <c r="C126" t="s">
        <v>36</v>
      </c>
      <c r="D126" t="s">
        <v>25</v>
      </c>
      <c r="E126" t="s">
        <v>26</v>
      </c>
      <c r="F126" t="s">
        <v>19</v>
      </c>
      <c r="G126">
        <v>80</v>
      </c>
      <c r="H126">
        <v>47</v>
      </c>
      <c r="I126">
        <v>26</v>
      </c>
      <c r="J126">
        <v>8</v>
      </c>
      <c r="K126">
        <v>6969</v>
      </c>
      <c r="L126">
        <v>0.32500000000000001</v>
      </c>
      <c r="M126">
        <v>0.58750000000000002</v>
      </c>
      <c r="N126">
        <v>0.30769230769230771</v>
      </c>
      <c r="O126">
        <v>871.125</v>
      </c>
    </row>
    <row r="127" spans="1:15">
      <c r="A127">
        <v>46055</v>
      </c>
      <c r="B127" t="s">
        <v>40</v>
      </c>
      <c r="C127" t="s">
        <v>16</v>
      </c>
      <c r="D127" t="s">
        <v>17</v>
      </c>
      <c r="E127" t="s">
        <v>29</v>
      </c>
      <c r="F127" t="s">
        <v>22</v>
      </c>
      <c r="G127">
        <v>936</v>
      </c>
      <c r="H127">
        <v>97</v>
      </c>
      <c r="I127">
        <v>32</v>
      </c>
      <c r="J127">
        <v>3</v>
      </c>
      <c r="K127">
        <v>798</v>
      </c>
      <c r="L127">
        <v>3.4188034188034191E-2</v>
      </c>
      <c r="M127">
        <v>0.10363247863247864</v>
      </c>
      <c r="N127">
        <v>9.375E-2</v>
      </c>
      <c r="O127">
        <v>266</v>
      </c>
    </row>
    <row r="128" spans="1:15">
      <c r="A128">
        <v>46055</v>
      </c>
      <c r="B128" t="s">
        <v>40</v>
      </c>
      <c r="C128" t="s">
        <v>33</v>
      </c>
      <c r="D128" t="s">
        <v>32</v>
      </c>
      <c r="E128" t="s">
        <v>26</v>
      </c>
      <c r="F128" t="s">
        <v>19</v>
      </c>
      <c r="G128">
        <v>2062</v>
      </c>
      <c r="H128">
        <v>62</v>
      </c>
      <c r="I128">
        <v>14</v>
      </c>
      <c r="J128">
        <v>0</v>
      </c>
      <c r="K128">
        <v>721</v>
      </c>
      <c r="L128">
        <v>6.7895247332686714E-3</v>
      </c>
      <c r="M128">
        <v>3.0067895247332686E-2</v>
      </c>
      <c r="N128">
        <v>0</v>
      </c>
    </row>
    <row r="129" spans="1:15">
      <c r="A129">
        <v>46056</v>
      </c>
      <c r="B129" t="s">
        <v>40</v>
      </c>
      <c r="C129" t="s">
        <v>24</v>
      </c>
      <c r="D129" t="s">
        <v>17</v>
      </c>
      <c r="E129" t="s">
        <v>26</v>
      </c>
      <c r="F129" t="s">
        <v>34</v>
      </c>
      <c r="G129">
        <v>9892</v>
      </c>
      <c r="H129">
        <v>245</v>
      </c>
      <c r="I129">
        <v>226</v>
      </c>
      <c r="J129">
        <v>7</v>
      </c>
      <c r="K129">
        <v>1549</v>
      </c>
      <c r="L129">
        <v>2.2846744844318641E-2</v>
      </c>
      <c r="M129">
        <v>2.4767488879902953E-2</v>
      </c>
      <c r="N129">
        <v>3.0973451327433628E-2</v>
      </c>
      <c r="O129">
        <v>221.28571428571428</v>
      </c>
    </row>
    <row r="130" spans="1:15">
      <c r="A130">
        <v>46056</v>
      </c>
      <c r="B130" t="s">
        <v>40</v>
      </c>
      <c r="C130" t="s">
        <v>20</v>
      </c>
      <c r="D130" t="s">
        <v>25</v>
      </c>
      <c r="E130" t="s">
        <v>27</v>
      </c>
      <c r="F130" t="s">
        <v>22</v>
      </c>
      <c r="G130">
        <v>1115</v>
      </c>
      <c r="H130">
        <v>159</v>
      </c>
      <c r="I130">
        <v>49</v>
      </c>
      <c r="J130">
        <v>3</v>
      </c>
      <c r="K130">
        <v>761</v>
      </c>
      <c r="L130">
        <v>4.3946188340807178E-2</v>
      </c>
      <c r="M130">
        <v>0.14260089686098654</v>
      </c>
      <c r="N130">
        <v>6.1224489795918366E-2</v>
      </c>
      <c r="O130">
        <v>253.66666666666666</v>
      </c>
    </row>
    <row r="131" spans="1:15">
      <c r="A131">
        <v>46056</v>
      </c>
      <c r="B131" t="s">
        <v>40</v>
      </c>
      <c r="C131" t="s">
        <v>33</v>
      </c>
      <c r="D131" t="s">
        <v>25</v>
      </c>
      <c r="E131" t="s">
        <v>18</v>
      </c>
      <c r="F131" t="s">
        <v>19</v>
      </c>
      <c r="G131">
        <v>2805</v>
      </c>
      <c r="H131">
        <v>103</v>
      </c>
      <c r="I131">
        <v>24</v>
      </c>
      <c r="J131">
        <v>1</v>
      </c>
      <c r="K131">
        <v>709</v>
      </c>
      <c r="L131">
        <v>8.5561497326203211E-3</v>
      </c>
      <c r="M131">
        <v>3.6720142602495544E-2</v>
      </c>
      <c r="N131">
        <v>4.1666666666666664E-2</v>
      </c>
      <c r="O131">
        <v>709</v>
      </c>
    </row>
    <row r="132" spans="1:15">
      <c r="A132">
        <v>46056</v>
      </c>
      <c r="B132" t="s">
        <v>40</v>
      </c>
      <c r="C132" t="s">
        <v>23</v>
      </c>
      <c r="D132" t="s">
        <v>17</v>
      </c>
      <c r="E132" t="s">
        <v>18</v>
      </c>
      <c r="F132" t="s">
        <v>34</v>
      </c>
      <c r="G132">
        <v>1193</v>
      </c>
      <c r="H132">
        <v>122</v>
      </c>
      <c r="I132">
        <v>97</v>
      </c>
      <c r="J132">
        <v>23</v>
      </c>
      <c r="K132">
        <v>3541</v>
      </c>
      <c r="L132">
        <v>8.1307627829002513E-2</v>
      </c>
      <c r="M132">
        <v>0.10226320201173512</v>
      </c>
      <c r="N132">
        <v>0.23711340206185566</v>
      </c>
      <c r="O132">
        <v>153.95652173913044</v>
      </c>
    </row>
    <row r="133" spans="1:15">
      <c r="A133">
        <v>46056</v>
      </c>
      <c r="B133" t="s">
        <v>40</v>
      </c>
      <c r="C133" t="s">
        <v>31</v>
      </c>
      <c r="D133" t="s">
        <v>21</v>
      </c>
      <c r="E133" t="s">
        <v>18</v>
      </c>
      <c r="F133" t="s">
        <v>34</v>
      </c>
      <c r="G133">
        <v>17259</v>
      </c>
      <c r="H133">
        <v>232</v>
      </c>
      <c r="I133">
        <v>526</v>
      </c>
      <c r="J133">
        <v>6</v>
      </c>
      <c r="K133">
        <v>1627</v>
      </c>
      <c r="L133">
        <v>3.0476852656584969E-2</v>
      </c>
      <c r="M133">
        <v>1.3442262008227592E-2</v>
      </c>
      <c r="N133">
        <v>1.1406844106463879E-2</v>
      </c>
      <c r="O133">
        <v>271.16666666666669</v>
      </c>
    </row>
    <row r="134" spans="1:15">
      <c r="A134">
        <v>46057</v>
      </c>
      <c r="B134" t="s">
        <v>40</v>
      </c>
      <c r="C134" t="s">
        <v>23</v>
      </c>
      <c r="D134" t="s">
        <v>25</v>
      </c>
      <c r="E134" t="s">
        <v>26</v>
      </c>
      <c r="F134" t="s">
        <v>30</v>
      </c>
      <c r="G134">
        <v>788</v>
      </c>
      <c r="H134">
        <v>58</v>
      </c>
      <c r="I134">
        <v>24</v>
      </c>
      <c r="J134">
        <v>2</v>
      </c>
      <c r="K134">
        <v>2286</v>
      </c>
      <c r="L134">
        <v>3.0456852791878174E-2</v>
      </c>
      <c r="M134">
        <v>7.3604060913705582E-2</v>
      </c>
      <c r="N134">
        <v>8.3333333333333329E-2</v>
      </c>
      <c r="O134">
        <v>1143</v>
      </c>
    </row>
    <row r="135" spans="1:15">
      <c r="A135">
        <v>46057</v>
      </c>
      <c r="B135" t="s">
        <v>40</v>
      </c>
      <c r="C135" t="s">
        <v>16</v>
      </c>
      <c r="D135" t="s">
        <v>17</v>
      </c>
      <c r="E135" t="s">
        <v>27</v>
      </c>
      <c r="F135" t="s">
        <v>22</v>
      </c>
      <c r="G135">
        <v>726</v>
      </c>
      <c r="H135">
        <v>98</v>
      </c>
      <c r="I135">
        <v>33</v>
      </c>
      <c r="J135">
        <v>5</v>
      </c>
      <c r="K135">
        <v>1055</v>
      </c>
      <c r="L135">
        <v>4.5454545454545456E-2</v>
      </c>
      <c r="M135">
        <v>0.13498622589531681</v>
      </c>
      <c r="N135">
        <v>0.15151515151515152</v>
      </c>
      <c r="O135">
        <v>211</v>
      </c>
    </row>
    <row r="136" spans="1:15">
      <c r="A136">
        <v>46057</v>
      </c>
      <c r="B136" t="s">
        <v>40</v>
      </c>
      <c r="C136" t="s">
        <v>20</v>
      </c>
      <c r="D136" t="s">
        <v>17</v>
      </c>
      <c r="E136" t="s">
        <v>27</v>
      </c>
      <c r="F136" t="s">
        <v>22</v>
      </c>
      <c r="G136">
        <v>422</v>
      </c>
      <c r="H136">
        <v>73</v>
      </c>
      <c r="I136">
        <v>30</v>
      </c>
      <c r="J136">
        <v>2</v>
      </c>
      <c r="K136">
        <v>752</v>
      </c>
      <c r="L136">
        <v>7.1090047393364927E-2</v>
      </c>
      <c r="M136">
        <v>0.17298578199052134</v>
      </c>
      <c r="N136">
        <v>6.6666666666666666E-2</v>
      </c>
      <c r="O136">
        <v>376</v>
      </c>
    </row>
    <row r="137" spans="1:15">
      <c r="A137">
        <v>46057</v>
      </c>
      <c r="B137" t="s">
        <v>40</v>
      </c>
      <c r="C137" t="s">
        <v>24</v>
      </c>
      <c r="D137" t="s">
        <v>32</v>
      </c>
      <c r="E137" t="s">
        <v>18</v>
      </c>
      <c r="F137" t="s">
        <v>22</v>
      </c>
      <c r="G137">
        <v>7972</v>
      </c>
      <c r="H137">
        <v>164</v>
      </c>
      <c r="I137">
        <v>83</v>
      </c>
      <c r="J137">
        <v>1</v>
      </c>
      <c r="K137">
        <v>1387</v>
      </c>
      <c r="L137">
        <v>1.0411440040140491E-2</v>
      </c>
      <c r="M137">
        <v>2.0572002007024585E-2</v>
      </c>
      <c r="N137">
        <v>1.2048192771084338E-2</v>
      </c>
      <c r="O137">
        <v>1387</v>
      </c>
    </row>
    <row r="138" spans="1:15">
      <c r="A138">
        <v>46058</v>
      </c>
      <c r="B138" t="s">
        <v>41</v>
      </c>
      <c r="C138" t="s">
        <v>23</v>
      </c>
      <c r="D138" t="s">
        <v>32</v>
      </c>
      <c r="E138" t="s">
        <v>27</v>
      </c>
      <c r="F138" t="s">
        <v>19</v>
      </c>
      <c r="G138">
        <v>2264</v>
      </c>
      <c r="H138">
        <v>224</v>
      </c>
      <c r="I138">
        <v>46</v>
      </c>
      <c r="J138">
        <v>8</v>
      </c>
      <c r="K138">
        <v>3262</v>
      </c>
      <c r="L138">
        <v>2.0318021201413426E-2</v>
      </c>
      <c r="M138">
        <v>9.8939929328621903E-2</v>
      </c>
      <c r="N138">
        <v>0.17391304347826086</v>
      </c>
      <c r="O138">
        <v>407.75</v>
      </c>
    </row>
    <row r="139" spans="1:15">
      <c r="A139">
        <v>46058</v>
      </c>
      <c r="B139" t="s">
        <v>41</v>
      </c>
      <c r="C139" t="s">
        <v>20</v>
      </c>
      <c r="D139" t="s">
        <v>21</v>
      </c>
      <c r="E139" t="s">
        <v>27</v>
      </c>
      <c r="F139" t="s">
        <v>34</v>
      </c>
      <c r="G139">
        <v>1493</v>
      </c>
      <c r="H139">
        <v>254</v>
      </c>
      <c r="I139">
        <v>158</v>
      </c>
      <c r="J139">
        <v>16</v>
      </c>
      <c r="K139">
        <v>636</v>
      </c>
      <c r="L139">
        <v>0.1058271935699933</v>
      </c>
      <c r="M139">
        <v>0.17012726054922975</v>
      </c>
      <c r="N139">
        <v>0.10126582278481013</v>
      </c>
      <c r="O139">
        <v>39.75</v>
      </c>
    </row>
    <row r="140" spans="1:15">
      <c r="A140">
        <v>46058</v>
      </c>
      <c r="B140" t="s">
        <v>41</v>
      </c>
      <c r="C140" t="s">
        <v>16</v>
      </c>
      <c r="D140" t="s">
        <v>17</v>
      </c>
      <c r="E140" t="s">
        <v>18</v>
      </c>
      <c r="F140" t="s">
        <v>34</v>
      </c>
      <c r="G140">
        <v>1118</v>
      </c>
      <c r="H140">
        <v>268</v>
      </c>
      <c r="I140">
        <v>92</v>
      </c>
      <c r="J140">
        <v>15</v>
      </c>
      <c r="K140">
        <v>1152</v>
      </c>
      <c r="L140">
        <v>8.2289803220035776E-2</v>
      </c>
      <c r="M140">
        <v>0.23971377459749552</v>
      </c>
      <c r="N140">
        <v>0.16304347826086957</v>
      </c>
      <c r="O140">
        <v>76.8</v>
      </c>
    </row>
    <row r="141" spans="1:15">
      <c r="A141">
        <v>46059</v>
      </c>
      <c r="B141" t="s">
        <v>41</v>
      </c>
      <c r="C141" t="s">
        <v>33</v>
      </c>
      <c r="D141" t="s">
        <v>25</v>
      </c>
      <c r="E141" t="s">
        <v>18</v>
      </c>
      <c r="F141" t="s">
        <v>34</v>
      </c>
      <c r="G141">
        <v>3088</v>
      </c>
      <c r="H141">
        <v>150</v>
      </c>
      <c r="I141">
        <v>29</v>
      </c>
      <c r="J141">
        <v>1</v>
      </c>
      <c r="K141">
        <v>790</v>
      </c>
      <c r="L141">
        <v>9.39119170984456E-3</v>
      </c>
      <c r="M141">
        <v>4.8575129533678756E-2</v>
      </c>
      <c r="N141">
        <v>3.4482758620689655E-2</v>
      </c>
      <c r="O141">
        <v>790</v>
      </c>
    </row>
    <row r="142" spans="1:15">
      <c r="A142">
        <v>46059</v>
      </c>
      <c r="B142" t="s">
        <v>41</v>
      </c>
      <c r="C142" t="s">
        <v>23</v>
      </c>
      <c r="D142" t="s">
        <v>17</v>
      </c>
      <c r="E142" t="s">
        <v>18</v>
      </c>
      <c r="F142" t="s">
        <v>30</v>
      </c>
      <c r="G142">
        <v>1596</v>
      </c>
      <c r="H142">
        <v>131</v>
      </c>
      <c r="I142">
        <v>76</v>
      </c>
      <c r="J142">
        <v>10</v>
      </c>
      <c r="K142">
        <v>3080</v>
      </c>
      <c r="L142">
        <v>4.7619047619047616E-2</v>
      </c>
      <c r="M142">
        <v>8.2080200501253128E-2</v>
      </c>
      <c r="N142">
        <v>0.13157894736842105</v>
      </c>
      <c r="O142">
        <v>308</v>
      </c>
    </row>
    <row r="143" spans="1:15">
      <c r="A143">
        <v>46059</v>
      </c>
      <c r="B143" t="s">
        <v>41</v>
      </c>
      <c r="C143" t="s">
        <v>31</v>
      </c>
      <c r="D143" t="s">
        <v>32</v>
      </c>
      <c r="E143" t="s">
        <v>26</v>
      </c>
      <c r="F143" t="s">
        <v>34</v>
      </c>
      <c r="G143">
        <v>8363</v>
      </c>
      <c r="H143">
        <v>145</v>
      </c>
      <c r="I143">
        <v>102</v>
      </c>
      <c r="J143">
        <v>0</v>
      </c>
      <c r="K143">
        <v>2536</v>
      </c>
      <c r="L143">
        <v>1.2196580174578501E-2</v>
      </c>
      <c r="M143">
        <v>1.7338275738371399E-2</v>
      </c>
      <c r="N143">
        <v>0</v>
      </c>
    </row>
    <row r="144" spans="1:15">
      <c r="A144">
        <v>46060</v>
      </c>
      <c r="B144" t="s">
        <v>41</v>
      </c>
      <c r="C144" t="s">
        <v>16</v>
      </c>
      <c r="D144" t="s">
        <v>25</v>
      </c>
      <c r="E144" t="s">
        <v>18</v>
      </c>
      <c r="F144" t="s">
        <v>34</v>
      </c>
      <c r="G144">
        <v>1001</v>
      </c>
      <c r="H144">
        <v>238</v>
      </c>
      <c r="I144">
        <v>35</v>
      </c>
      <c r="J144">
        <v>2</v>
      </c>
      <c r="K144">
        <v>722</v>
      </c>
      <c r="L144">
        <v>3.4965034965034968E-2</v>
      </c>
      <c r="M144">
        <v>0.23776223776223776</v>
      </c>
      <c r="N144">
        <v>5.7142857142857141E-2</v>
      </c>
      <c r="O144">
        <v>361</v>
      </c>
    </row>
    <row r="145" spans="1:15">
      <c r="A145">
        <v>46060</v>
      </c>
      <c r="B145" t="s">
        <v>41</v>
      </c>
      <c r="C145" t="s">
        <v>23</v>
      </c>
      <c r="D145" t="s">
        <v>25</v>
      </c>
      <c r="E145" t="s">
        <v>27</v>
      </c>
      <c r="F145" t="s">
        <v>34</v>
      </c>
      <c r="G145">
        <v>3233</v>
      </c>
      <c r="H145">
        <v>381</v>
      </c>
      <c r="I145">
        <v>118</v>
      </c>
      <c r="J145">
        <v>18</v>
      </c>
      <c r="K145">
        <v>2543</v>
      </c>
      <c r="L145">
        <v>3.6498608103928243E-2</v>
      </c>
      <c r="M145">
        <v>0.11784720074234457</v>
      </c>
      <c r="N145">
        <v>0.15254237288135594</v>
      </c>
      <c r="O145">
        <v>141.27777777777777</v>
      </c>
    </row>
    <row r="146" spans="1:15">
      <c r="A146">
        <v>46060</v>
      </c>
      <c r="B146" t="s">
        <v>41</v>
      </c>
      <c r="C146" t="s">
        <v>31</v>
      </c>
      <c r="D146" t="s">
        <v>25</v>
      </c>
      <c r="E146" t="s">
        <v>18</v>
      </c>
      <c r="F146" t="s">
        <v>34</v>
      </c>
      <c r="G146">
        <v>16780</v>
      </c>
      <c r="H146">
        <v>258</v>
      </c>
      <c r="I146">
        <v>266</v>
      </c>
      <c r="J146">
        <v>3</v>
      </c>
      <c r="K146">
        <v>1050</v>
      </c>
      <c r="L146">
        <v>1.5852205005959477E-2</v>
      </c>
      <c r="M146">
        <v>1.5375446960667461E-2</v>
      </c>
      <c r="N146">
        <v>1.1278195488721804E-2</v>
      </c>
      <c r="O146">
        <v>350</v>
      </c>
    </row>
    <row r="147" spans="1:15">
      <c r="A147">
        <v>46061</v>
      </c>
      <c r="B147" t="s">
        <v>41</v>
      </c>
      <c r="C147" t="s">
        <v>16</v>
      </c>
      <c r="D147" t="s">
        <v>17</v>
      </c>
      <c r="E147" t="s">
        <v>26</v>
      </c>
      <c r="F147" t="s">
        <v>19</v>
      </c>
      <c r="G147">
        <v>513</v>
      </c>
      <c r="H147">
        <v>97</v>
      </c>
      <c r="I147">
        <v>28</v>
      </c>
      <c r="J147">
        <v>5</v>
      </c>
      <c r="K147">
        <v>809</v>
      </c>
      <c r="L147">
        <v>5.4580896686159841E-2</v>
      </c>
      <c r="M147">
        <v>0.18908382066276802</v>
      </c>
      <c r="N147">
        <v>0.17857142857142858</v>
      </c>
      <c r="O147">
        <v>161.80000000000001</v>
      </c>
    </row>
    <row r="148" spans="1:15">
      <c r="A148">
        <v>46061</v>
      </c>
      <c r="B148" t="s">
        <v>41</v>
      </c>
      <c r="C148" t="s">
        <v>31</v>
      </c>
      <c r="D148" t="s">
        <v>25</v>
      </c>
      <c r="E148" t="s">
        <v>26</v>
      </c>
      <c r="F148" t="s">
        <v>34</v>
      </c>
      <c r="G148">
        <v>9811</v>
      </c>
      <c r="H148">
        <v>118</v>
      </c>
      <c r="I148">
        <v>237</v>
      </c>
      <c r="J148">
        <v>3</v>
      </c>
      <c r="K148">
        <v>2040</v>
      </c>
      <c r="L148">
        <v>2.4156558964427682E-2</v>
      </c>
      <c r="M148">
        <v>1.2027316277647538E-2</v>
      </c>
      <c r="N148">
        <v>1.2658227848101266E-2</v>
      </c>
      <c r="O148">
        <v>680</v>
      </c>
    </row>
    <row r="149" spans="1:15">
      <c r="A149">
        <v>46061</v>
      </c>
      <c r="B149" t="s">
        <v>41</v>
      </c>
      <c r="C149" t="s">
        <v>36</v>
      </c>
      <c r="D149" t="s">
        <v>25</v>
      </c>
      <c r="E149" t="s">
        <v>18</v>
      </c>
      <c r="F149" t="s">
        <v>30</v>
      </c>
      <c r="G149">
        <v>80</v>
      </c>
      <c r="H149">
        <v>38</v>
      </c>
      <c r="I149">
        <v>28</v>
      </c>
      <c r="J149">
        <v>8</v>
      </c>
      <c r="K149">
        <v>4395</v>
      </c>
      <c r="L149">
        <v>0.35</v>
      </c>
      <c r="M149">
        <v>0.47499999999999998</v>
      </c>
      <c r="N149">
        <v>0.2857142857142857</v>
      </c>
      <c r="O149">
        <v>549.375</v>
      </c>
    </row>
    <row r="150" spans="1:15">
      <c r="A150">
        <v>46062</v>
      </c>
      <c r="B150" t="s">
        <v>41</v>
      </c>
      <c r="C150" t="s">
        <v>31</v>
      </c>
      <c r="D150" t="s">
        <v>17</v>
      </c>
      <c r="E150" t="s">
        <v>18</v>
      </c>
      <c r="F150" t="s">
        <v>22</v>
      </c>
      <c r="G150">
        <v>7891</v>
      </c>
      <c r="H150">
        <v>75</v>
      </c>
      <c r="I150">
        <v>148</v>
      </c>
      <c r="J150">
        <v>1</v>
      </c>
      <c r="K150">
        <v>1572</v>
      </c>
      <c r="L150">
        <v>1.875554429096439E-2</v>
      </c>
      <c r="M150">
        <v>9.5044987960968188E-3</v>
      </c>
      <c r="N150">
        <v>6.7567567567567571E-3</v>
      </c>
      <c r="O150">
        <v>1572</v>
      </c>
    </row>
    <row r="151" spans="1:15">
      <c r="A151">
        <v>46062</v>
      </c>
      <c r="B151" t="s">
        <v>41</v>
      </c>
      <c r="C151" t="s">
        <v>23</v>
      </c>
      <c r="D151" t="s">
        <v>25</v>
      </c>
      <c r="E151" t="s">
        <v>18</v>
      </c>
      <c r="F151" t="s">
        <v>30</v>
      </c>
      <c r="G151">
        <v>2983</v>
      </c>
      <c r="H151">
        <v>314</v>
      </c>
      <c r="I151">
        <v>153</v>
      </c>
      <c r="J151">
        <v>20</v>
      </c>
      <c r="K151">
        <v>3631</v>
      </c>
      <c r="L151">
        <v>5.129064699966477E-2</v>
      </c>
      <c r="M151">
        <v>0.10526315789473684</v>
      </c>
      <c r="N151">
        <v>0.13071895424836602</v>
      </c>
      <c r="O151">
        <v>181.55</v>
      </c>
    </row>
    <row r="152" spans="1:15">
      <c r="A152">
        <v>46062</v>
      </c>
      <c r="B152" t="s">
        <v>41</v>
      </c>
      <c r="C152" t="s">
        <v>24</v>
      </c>
      <c r="D152" t="s">
        <v>32</v>
      </c>
      <c r="E152" t="s">
        <v>27</v>
      </c>
      <c r="F152" t="s">
        <v>22</v>
      </c>
      <c r="G152">
        <v>7595</v>
      </c>
      <c r="H152">
        <v>194</v>
      </c>
      <c r="I152">
        <v>85</v>
      </c>
      <c r="J152">
        <v>2</v>
      </c>
      <c r="K152">
        <v>1781</v>
      </c>
      <c r="L152">
        <v>1.119157340355497E-2</v>
      </c>
      <c r="M152">
        <v>2.554312047399605E-2</v>
      </c>
      <c r="N152">
        <v>2.3529411764705882E-2</v>
      </c>
      <c r="O152">
        <v>890.5</v>
      </c>
    </row>
    <row r="153" spans="1:15">
      <c r="A153">
        <v>46063</v>
      </c>
      <c r="B153" t="s">
        <v>41</v>
      </c>
      <c r="C153" t="s">
        <v>20</v>
      </c>
      <c r="D153" t="s">
        <v>21</v>
      </c>
      <c r="E153" t="s">
        <v>18</v>
      </c>
      <c r="F153" t="s">
        <v>30</v>
      </c>
      <c r="G153">
        <v>705</v>
      </c>
      <c r="H153">
        <v>139</v>
      </c>
      <c r="I153">
        <v>52</v>
      </c>
      <c r="J153">
        <v>3</v>
      </c>
      <c r="K153">
        <v>930</v>
      </c>
      <c r="L153">
        <v>7.3758865248226946E-2</v>
      </c>
      <c r="M153">
        <v>0.19716312056737589</v>
      </c>
      <c r="N153">
        <v>5.7692307692307696E-2</v>
      </c>
      <c r="O153">
        <v>310</v>
      </c>
    </row>
    <row r="154" spans="1:15">
      <c r="A154">
        <v>46063</v>
      </c>
      <c r="B154" t="s">
        <v>41</v>
      </c>
      <c r="C154" t="s">
        <v>33</v>
      </c>
      <c r="D154" t="s">
        <v>17</v>
      </c>
      <c r="E154" t="s">
        <v>27</v>
      </c>
      <c r="F154" t="s">
        <v>34</v>
      </c>
      <c r="G154">
        <v>3112</v>
      </c>
      <c r="H154">
        <v>131</v>
      </c>
      <c r="I154">
        <v>41</v>
      </c>
      <c r="J154">
        <v>2</v>
      </c>
      <c r="K154">
        <v>421</v>
      </c>
      <c r="L154">
        <v>1.3174807197943445E-2</v>
      </c>
      <c r="M154">
        <v>4.2095115681233933E-2</v>
      </c>
      <c r="N154">
        <v>4.878048780487805E-2</v>
      </c>
      <c r="O154">
        <v>210.5</v>
      </c>
    </row>
    <row r="155" spans="1:15">
      <c r="A155">
        <v>46063</v>
      </c>
      <c r="B155" t="s">
        <v>41</v>
      </c>
      <c r="C155" t="s">
        <v>16</v>
      </c>
      <c r="D155" t="s">
        <v>21</v>
      </c>
      <c r="E155" t="s">
        <v>18</v>
      </c>
      <c r="F155" t="s">
        <v>19</v>
      </c>
      <c r="G155">
        <v>1332</v>
      </c>
      <c r="H155">
        <v>216</v>
      </c>
      <c r="I155">
        <v>52</v>
      </c>
      <c r="J155">
        <v>5</v>
      </c>
      <c r="K155">
        <v>1372</v>
      </c>
      <c r="L155">
        <v>3.903903903903904E-2</v>
      </c>
      <c r="M155">
        <v>0.16216216216216217</v>
      </c>
      <c r="N155">
        <v>9.6153846153846159E-2</v>
      </c>
      <c r="O155">
        <v>274.39999999999998</v>
      </c>
    </row>
    <row r="156" spans="1:15">
      <c r="A156">
        <v>46063</v>
      </c>
      <c r="B156" t="s">
        <v>41</v>
      </c>
      <c r="C156" t="s">
        <v>31</v>
      </c>
      <c r="D156" t="s">
        <v>32</v>
      </c>
      <c r="E156" t="s">
        <v>18</v>
      </c>
      <c r="F156" t="s">
        <v>22</v>
      </c>
      <c r="G156">
        <v>18096</v>
      </c>
      <c r="H156">
        <v>181</v>
      </c>
      <c r="I156">
        <v>225</v>
      </c>
      <c r="J156">
        <v>2</v>
      </c>
      <c r="K156">
        <v>2598</v>
      </c>
      <c r="L156">
        <v>1.2433687002652519E-2</v>
      </c>
      <c r="M156">
        <v>1.0002210433244917E-2</v>
      </c>
      <c r="N156">
        <v>8.8888888888888889E-3</v>
      </c>
      <c r="O156">
        <v>1299</v>
      </c>
    </row>
    <row r="157" spans="1:15">
      <c r="A157">
        <v>46063</v>
      </c>
      <c r="B157" t="s">
        <v>41</v>
      </c>
      <c r="C157" t="s">
        <v>23</v>
      </c>
      <c r="D157" t="s">
        <v>35</v>
      </c>
      <c r="E157" t="s">
        <v>18</v>
      </c>
      <c r="F157" t="s">
        <v>30</v>
      </c>
      <c r="G157">
        <v>1932</v>
      </c>
      <c r="H157">
        <v>165</v>
      </c>
      <c r="I157">
        <v>72</v>
      </c>
      <c r="J157">
        <v>9</v>
      </c>
      <c r="K157">
        <v>3359</v>
      </c>
      <c r="L157">
        <v>3.7267080745341616E-2</v>
      </c>
      <c r="M157">
        <v>8.5403726708074529E-2</v>
      </c>
      <c r="N157">
        <v>0.125</v>
      </c>
      <c r="O157">
        <v>373.22222222222223</v>
      </c>
    </row>
    <row r="158" spans="1:15">
      <c r="A158">
        <v>46064</v>
      </c>
      <c r="B158" t="s">
        <v>41</v>
      </c>
      <c r="C158" t="s">
        <v>20</v>
      </c>
      <c r="D158" t="s">
        <v>32</v>
      </c>
      <c r="E158" t="s">
        <v>27</v>
      </c>
      <c r="F158" t="s">
        <v>19</v>
      </c>
      <c r="G158">
        <v>1015</v>
      </c>
      <c r="H158">
        <v>199</v>
      </c>
      <c r="I158">
        <v>36</v>
      </c>
      <c r="J158">
        <v>1</v>
      </c>
      <c r="K158">
        <v>792</v>
      </c>
      <c r="L158">
        <v>3.5467980295566505E-2</v>
      </c>
      <c r="M158">
        <v>0.19605911330049261</v>
      </c>
      <c r="N158">
        <v>2.7777777777777776E-2</v>
      </c>
      <c r="O158">
        <v>792</v>
      </c>
    </row>
    <row r="159" spans="1:15">
      <c r="A159">
        <v>46064</v>
      </c>
      <c r="B159" t="s">
        <v>41</v>
      </c>
      <c r="C159" t="s">
        <v>16</v>
      </c>
      <c r="D159" t="s">
        <v>17</v>
      </c>
      <c r="E159" t="s">
        <v>27</v>
      </c>
      <c r="F159" t="s">
        <v>30</v>
      </c>
      <c r="G159">
        <v>1883</v>
      </c>
      <c r="H159">
        <v>234</v>
      </c>
      <c r="I159">
        <v>92</v>
      </c>
      <c r="J159">
        <v>13</v>
      </c>
      <c r="K159">
        <v>904</v>
      </c>
      <c r="L159">
        <v>4.8858204992033985E-2</v>
      </c>
      <c r="M159">
        <v>0.12426978226234732</v>
      </c>
      <c r="N159">
        <v>0.14130434782608695</v>
      </c>
      <c r="O159">
        <v>69.538461538461533</v>
      </c>
    </row>
    <row r="160" spans="1:15">
      <c r="A160">
        <v>46064</v>
      </c>
      <c r="B160" t="s">
        <v>41</v>
      </c>
      <c r="C160" t="s">
        <v>36</v>
      </c>
      <c r="D160" t="s">
        <v>17</v>
      </c>
      <c r="E160" t="s">
        <v>18</v>
      </c>
      <c r="F160" t="s">
        <v>22</v>
      </c>
      <c r="G160">
        <v>110</v>
      </c>
      <c r="H160">
        <v>56</v>
      </c>
      <c r="I160">
        <v>27</v>
      </c>
      <c r="J160">
        <v>9</v>
      </c>
      <c r="K160">
        <v>7149</v>
      </c>
      <c r="L160">
        <v>0.24545454545454545</v>
      </c>
      <c r="M160">
        <v>0.50909090909090904</v>
      </c>
      <c r="N160">
        <v>0.33333333333333331</v>
      </c>
      <c r="O160">
        <v>794.33333333333337</v>
      </c>
    </row>
    <row r="161" spans="1:15">
      <c r="A161">
        <v>46065</v>
      </c>
      <c r="B161" t="s">
        <v>42</v>
      </c>
      <c r="C161" t="s">
        <v>20</v>
      </c>
      <c r="D161" t="s">
        <v>32</v>
      </c>
      <c r="E161" t="s">
        <v>27</v>
      </c>
      <c r="F161" t="s">
        <v>22</v>
      </c>
      <c r="G161">
        <v>979</v>
      </c>
      <c r="H161">
        <v>164</v>
      </c>
      <c r="I161">
        <v>34</v>
      </c>
      <c r="J161">
        <v>1</v>
      </c>
      <c r="K161">
        <v>1277</v>
      </c>
      <c r="L161">
        <v>3.472931562819203E-2</v>
      </c>
      <c r="M161">
        <v>0.16751787538304391</v>
      </c>
      <c r="N161">
        <v>2.9411764705882353E-2</v>
      </c>
      <c r="O161">
        <v>1277</v>
      </c>
    </row>
    <row r="162" spans="1:15">
      <c r="A162">
        <v>46065</v>
      </c>
      <c r="B162" t="s">
        <v>42</v>
      </c>
      <c r="C162" t="s">
        <v>23</v>
      </c>
      <c r="D162" t="s">
        <v>25</v>
      </c>
      <c r="E162" t="s">
        <v>27</v>
      </c>
      <c r="F162" t="s">
        <v>22</v>
      </c>
      <c r="G162">
        <v>1903</v>
      </c>
      <c r="H162">
        <v>123</v>
      </c>
      <c r="I162">
        <v>59</v>
      </c>
      <c r="J162">
        <v>5</v>
      </c>
      <c r="K162">
        <v>2689</v>
      </c>
      <c r="L162">
        <v>3.1003678402522335E-2</v>
      </c>
      <c r="M162">
        <v>6.463478717813978E-2</v>
      </c>
      <c r="N162">
        <v>8.4745762711864403E-2</v>
      </c>
      <c r="O162">
        <v>537.79999999999995</v>
      </c>
    </row>
    <row r="163" spans="1:15">
      <c r="A163">
        <v>46065</v>
      </c>
      <c r="B163" t="s">
        <v>42</v>
      </c>
      <c r="C163" t="s">
        <v>24</v>
      </c>
      <c r="D163" t="s">
        <v>35</v>
      </c>
      <c r="E163" t="s">
        <v>18</v>
      </c>
      <c r="F163" t="s">
        <v>22</v>
      </c>
      <c r="G163">
        <v>2939</v>
      </c>
      <c r="H163">
        <v>61</v>
      </c>
      <c r="I163">
        <v>31</v>
      </c>
      <c r="J163">
        <v>0</v>
      </c>
      <c r="K163">
        <v>1091</v>
      </c>
      <c r="L163">
        <v>1.0547805375978225E-2</v>
      </c>
      <c r="M163">
        <v>2.075535896563457E-2</v>
      </c>
      <c r="N163">
        <v>0</v>
      </c>
    </row>
    <row r="164" spans="1:15">
      <c r="A164">
        <v>46065</v>
      </c>
      <c r="B164" t="s">
        <v>42</v>
      </c>
      <c r="C164" t="s">
        <v>16</v>
      </c>
      <c r="D164" t="s">
        <v>25</v>
      </c>
      <c r="E164" t="s">
        <v>27</v>
      </c>
      <c r="F164" t="s">
        <v>34</v>
      </c>
      <c r="G164">
        <v>713</v>
      </c>
      <c r="H164">
        <v>150</v>
      </c>
      <c r="I164">
        <v>39</v>
      </c>
      <c r="J164">
        <v>2</v>
      </c>
      <c r="K164">
        <v>701</v>
      </c>
      <c r="L164">
        <v>5.4698457223001401E-2</v>
      </c>
      <c r="M164">
        <v>0.21037868162692847</v>
      </c>
      <c r="N164">
        <v>5.128205128205128E-2</v>
      </c>
      <c r="O164">
        <v>350.5</v>
      </c>
    </row>
    <row r="165" spans="1:15">
      <c r="A165">
        <v>46066</v>
      </c>
      <c r="B165" t="s">
        <v>42</v>
      </c>
      <c r="C165" t="s">
        <v>24</v>
      </c>
      <c r="D165" t="s">
        <v>21</v>
      </c>
      <c r="E165" t="s">
        <v>26</v>
      </c>
      <c r="F165" t="s">
        <v>28</v>
      </c>
      <c r="G165">
        <v>7815</v>
      </c>
      <c r="H165">
        <v>156</v>
      </c>
      <c r="I165">
        <v>145</v>
      </c>
      <c r="J165">
        <v>3</v>
      </c>
      <c r="K165">
        <v>1127</v>
      </c>
      <c r="L165">
        <v>1.8554062699936022E-2</v>
      </c>
      <c r="M165">
        <v>1.9961612284069098E-2</v>
      </c>
      <c r="N165">
        <v>2.0689655172413793E-2</v>
      </c>
      <c r="O165">
        <v>375.66666666666669</v>
      </c>
    </row>
    <row r="166" spans="1:15">
      <c r="A166">
        <v>46066</v>
      </c>
      <c r="B166" t="s">
        <v>42</v>
      </c>
      <c r="C166" t="s">
        <v>20</v>
      </c>
      <c r="D166" t="s">
        <v>25</v>
      </c>
      <c r="E166" t="s">
        <v>18</v>
      </c>
      <c r="F166" t="s">
        <v>19</v>
      </c>
      <c r="G166">
        <v>1442</v>
      </c>
      <c r="H166">
        <v>336</v>
      </c>
      <c r="I166">
        <v>109</v>
      </c>
      <c r="J166">
        <v>6</v>
      </c>
      <c r="K166">
        <v>806</v>
      </c>
      <c r="L166">
        <v>7.558945908460471E-2</v>
      </c>
      <c r="M166">
        <v>0.23300970873786409</v>
      </c>
      <c r="N166">
        <v>5.5045871559633031E-2</v>
      </c>
      <c r="O166">
        <v>134.33333333333334</v>
      </c>
    </row>
    <row r="167" spans="1:15">
      <c r="A167">
        <v>46066</v>
      </c>
      <c r="B167" t="s">
        <v>42</v>
      </c>
      <c r="C167" t="s">
        <v>16</v>
      </c>
      <c r="D167" t="s">
        <v>35</v>
      </c>
      <c r="E167" t="s">
        <v>26</v>
      </c>
      <c r="F167" t="s">
        <v>34</v>
      </c>
      <c r="G167">
        <v>1131</v>
      </c>
      <c r="H167">
        <v>190</v>
      </c>
      <c r="I167">
        <v>54</v>
      </c>
      <c r="J167">
        <v>3</v>
      </c>
      <c r="K167">
        <v>719</v>
      </c>
      <c r="L167">
        <v>4.7745358090185673E-2</v>
      </c>
      <c r="M167">
        <v>0.16799292661361626</v>
      </c>
      <c r="N167">
        <v>5.5555555555555552E-2</v>
      </c>
      <c r="O167">
        <v>239.66666666666666</v>
      </c>
    </row>
    <row r="168" spans="1:15">
      <c r="A168">
        <v>46067</v>
      </c>
      <c r="B168" t="s">
        <v>42</v>
      </c>
      <c r="C168" t="s">
        <v>36</v>
      </c>
      <c r="D168" t="s">
        <v>32</v>
      </c>
      <c r="E168" t="s">
        <v>27</v>
      </c>
      <c r="F168" t="s">
        <v>22</v>
      </c>
      <c r="G168">
        <v>80</v>
      </c>
      <c r="H168">
        <v>31</v>
      </c>
      <c r="I168">
        <v>16</v>
      </c>
      <c r="J168">
        <v>6</v>
      </c>
      <c r="K168">
        <v>5397</v>
      </c>
      <c r="L168">
        <v>0.2</v>
      </c>
      <c r="M168">
        <v>0.38750000000000001</v>
      </c>
      <c r="N168">
        <v>0.375</v>
      </c>
      <c r="O168">
        <v>899.5</v>
      </c>
    </row>
    <row r="169" spans="1:15">
      <c r="A169">
        <v>46067</v>
      </c>
      <c r="B169" t="s">
        <v>42</v>
      </c>
      <c r="C169" t="s">
        <v>20</v>
      </c>
      <c r="D169" t="s">
        <v>17</v>
      </c>
      <c r="E169" t="s">
        <v>26</v>
      </c>
      <c r="F169" t="s">
        <v>28</v>
      </c>
      <c r="G169">
        <v>1702</v>
      </c>
      <c r="H169">
        <v>350</v>
      </c>
      <c r="I169">
        <v>116</v>
      </c>
      <c r="J169">
        <v>8</v>
      </c>
      <c r="L169">
        <v>6.8155111633372498E-2</v>
      </c>
      <c r="M169">
        <v>0.20564042303172739</v>
      </c>
      <c r="N169">
        <v>6.8965517241379309E-2</v>
      </c>
    </row>
    <row r="170" spans="1:15">
      <c r="A170">
        <v>46067</v>
      </c>
      <c r="B170" t="s">
        <v>42</v>
      </c>
      <c r="C170" t="s">
        <v>23</v>
      </c>
      <c r="D170" t="s">
        <v>25</v>
      </c>
      <c r="E170" t="s">
        <v>27</v>
      </c>
      <c r="F170" t="s">
        <v>30</v>
      </c>
      <c r="G170">
        <v>1779</v>
      </c>
      <c r="H170">
        <v>118</v>
      </c>
      <c r="I170">
        <v>75</v>
      </c>
      <c r="J170">
        <v>9</v>
      </c>
      <c r="K170">
        <v>1458</v>
      </c>
      <c r="L170">
        <v>4.2158516020236091E-2</v>
      </c>
      <c r="M170">
        <v>6.632939853850478E-2</v>
      </c>
      <c r="N170">
        <v>0.12</v>
      </c>
      <c r="O170">
        <v>162</v>
      </c>
    </row>
    <row r="171" spans="1:15">
      <c r="A171">
        <v>46067</v>
      </c>
      <c r="B171" t="s">
        <v>42</v>
      </c>
      <c r="C171" t="s">
        <v>33</v>
      </c>
      <c r="D171" t="s">
        <v>32</v>
      </c>
      <c r="E171" t="s">
        <v>18</v>
      </c>
      <c r="F171" t="s">
        <v>19</v>
      </c>
      <c r="G171">
        <v>3610</v>
      </c>
      <c r="H171">
        <v>108</v>
      </c>
      <c r="I171">
        <v>31</v>
      </c>
      <c r="J171">
        <v>1</v>
      </c>
      <c r="K171">
        <v>479</v>
      </c>
      <c r="L171">
        <v>8.5872576177285324E-3</v>
      </c>
      <c r="M171">
        <v>2.9916897506925208E-2</v>
      </c>
      <c r="N171">
        <v>3.2258064516129031E-2</v>
      </c>
      <c r="O171">
        <v>479</v>
      </c>
    </row>
    <row r="172" spans="1:15">
      <c r="A172">
        <v>46067</v>
      </c>
      <c r="B172" t="s">
        <v>42</v>
      </c>
      <c r="C172" t="s">
        <v>24</v>
      </c>
      <c r="D172" t="s">
        <v>35</v>
      </c>
      <c r="E172" t="s">
        <v>18</v>
      </c>
      <c r="F172" t="s">
        <v>22</v>
      </c>
      <c r="G172">
        <v>16019</v>
      </c>
      <c r="H172">
        <v>338</v>
      </c>
      <c r="I172">
        <v>91</v>
      </c>
      <c r="J172">
        <v>0</v>
      </c>
      <c r="K172">
        <v>1632</v>
      </c>
      <c r="L172">
        <v>5.680754104500905E-3</v>
      </c>
      <c r="M172">
        <v>2.1099943816717648E-2</v>
      </c>
      <c r="N172">
        <v>0</v>
      </c>
    </row>
    <row r="173" spans="1:15">
      <c r="A173">
        <v>46068</v>
      </c>
      <c r="B173" t="s">
        <v>42</v>
      </c>
      <c r="C173" t="s">
        <v>20</v>
      </c>
      <c r="D173" t="s">
        <v>25</v>
      </c>
      <c r="E173" t="s">
        <v>27</v>
      </c>
      <c r="F173" t="s">
        <v>30</v>
      </c>
      <c r="G173">
        <v>989</v>
      </c>
      <c r="H173">
        <v>203</v>
      </c>
      <c r="I173">
        <v>76</v>
      </c>
      <c r="J173">
        <v>4</v>
      </c>
      <c r="K173">
        <v>1573</v>
      </c>
      <c r="L173">
        <v>7.6845298281092017E-2</v>
      </c>
      <c r="M173">
        <v>0.20525783619817997</v>
      </c>
      <c r="N173">
        <v>5.2631578947368418E-2</v>
      </c>
      <c r="O173">
        <v>393.25</v>
      </c>
    </row>
    <row r="174" spans="1:15">
      <c r="A174">
        <v>46068</v>
      </c>
      <c r="B174" t="s">
        <v>42</v>
      </c>
      <c r="C174" t="s">
        <v>16</v>
      </c>
      <c r="D174" t="s">
        <v>35</v>
      </c>
      <c r="E174" t="s">
        <v>18</v>
      </c>
      <c r="F174" t="s">
        <v>28</v>
      </c>
      <c r="G174">
        <v>1264</v>
      </c>
      <c r="H174">
        <v>241</v>
      </c>
      <c r="I174">
        <v>34</v>
      </c>
      <c r="J174">
        <v>3</v>
      </c>
      <c r="K174">
        <v>762</v>
      </c>
      <c r="L174">
        <v>2.6898734177215191E-2</v>
      </c>
      <c r="M174">
        <v>0.19066455696202531</v>
      </c>
      <c r="N174">
        <v>8.8235294117647065E-2</v>
      </c>
      <c r="O174">
        <v>254</v>
      </c>
    </row>
    <row r="175" spans="1:15">
      <c r="A175">
        <v>46068</v>
      </c>
      <c r="B175" t="s">
        <v>42</v>
      </c>
      <c r="C175" t="s">
        <v>36</v>
      </c>
      <c r="D175" t="s">
        <v>17</v>
      </c>
      <c r="E175" t="s">
        <v>26</v>
      </c>
      <c r="F175" t="s">
        <v>34</v>
      </c>
      <c r="G175">
        <v>80</v>
      </c>
      <c r="H175">
        <v>54</v>
      </c>
      <c r="I175">
        <v>48</v>
      </c>
      <c r="J175">
        <v>29</v>
      </c>
      <c r="K175">
        <v>4261</v>
      </c>
      <c r="L175">
        <v>0.6</v>
      </c>
      <c r="M175">
        <v>0.67500000000000004</v>
      </c>
      <c r="N175">
        <v>0.60416666666666663</v>
      </c>
      <c r="O175">
        <v>146.93103448275863</v>
      </c>
    </row>
    <row r="176" spans="1:15">
      <c r="A176">
        <v>46068</v>
      </c>
      <c r="B176" t="s">
        <v>42</v>
      </c>
      <c r="C176" t="s">
        <v>31</v>
      </c>
      <c r="D176" t="s">
        <v>35</v>
      </c>
      <c r="E176" t="s">
        <v>27</v>
      </c>
      <c r="F176" t="s">
        <v>30</v>
      </c>
      <c r="G176">
        <v>12393</v>
      </c>
      <c r="H176">
        <v>163</v>
      </c>
      <c r="I176">
        <v>204</v>
      </c>
      <c r="J176">
        <v>1</v>
      </c>
      <c r="K176">
        <v>2198</v>
      </c>
      <c r="L176">
        <v>1.646090534979424E-2</v>
      </c>
      <c r="M176">
        <v>1.3152586137335593E-2</v>
      </c>
      <c r="N176">
        <v>4.9019607843137254E-3</v>
      </c>
      <c r="O176">
        <v>2198</v>
      </c>
    </row>
    <row r="177" spans="1:15">
      <c r="A177">
        <v>46068</v>
      </c>
      <c r="B177" t="s">
        <v>42</v>
      </c>
      <c r="C177" t="s">
        <v>24</v>
      </c>
      <c r="D177" t="s">
        <v>17</v>
      </c>
      <c r="E177" t="s">
        <v>18</v>
      </c>
      <c r="F177" t="s">
        <v>30</v>
      </c>
      <c r="G177">
        <v>6757</v>
      </c>
      <c r="H177">
        <v>158</v>
      </c>
      <c r="I177">
        <v>219</v>
      </c>
      <c r="J177">
        <v>7</v>
      </c>
      <c r="K177">
        <v>1757</v>
      </c>
      <c r="L177">
        <v>3.2410833210004437E-2</v>
      </c>
      <c r="M177">
        <v>2.3383158206304572E-2</v>
      </c>
      <c r="N177">
        <v>3.1963470319634701E-2</v>
      </c>
      <c r="O177">
        <v>251</v>
      </c>
    </row>
    <row r="178" spans="1:15">
      <c r="A178">
        <v>46069</v>
      </c>
      <c r="B178" t="s">
        <v>42</v>
      </c>
      <c r="C178" t="s">
        <v>31</v>
      </c>
      <c r="D178" t="s">
        <v>21</v>
      </c>
      <c r="E178" t="s">
        <v>18</v>
      </c>
      <c r="F178" t="s">
        <v>34</v>
      </c>
      <c r="G178">
        <v>5577</v>
      </c>
      <c r="H178">
        <v>88</v>
      </c>
      <c r="I178">
        <v>121</v>
      </c>
      <c r="J178">
        <v>1</v>
      </c>
      <c r="K178">
        <v>1621</v>
      </c>
      <c r="L178">
        <v>2.1696252465483234E-2</v>
      </c>
      <c r="M178">
        <v>1.5779092702169626E-2</v>
      </c>
      <c r="N178">
        <v>8.2644628099173556E-3</v>
      </c>
      <c r="O178">
        <v>1621</v>
      </c>
    </row>
    <row r="179" spans="1:15">
      <c r="A179">
        <v>46069</v>
      </c>
      <c r="B179" t="s">
        <v>42</v>
      </c>
      <c r="C179" t="s">
        <v>20</v>
      </c>
      <c r="D179" t="s">
        <v>32</v>
      </c>
      <c r="E179" t="s">
        <v>18</v>
      </c>
      <c r="F179" t="s">
        <v>19</v>
      </c>
      <c r="G179">
        <v>497</v>
      </c>
      <c r="H179">
        <v>103</v>
      </c>
      <c r="I179">
        <v>21</v>
      </c>
      <c r="J179">
        <v>1</v>
      </c>
      <c r="K179">
        <v>707</v>
      </c>
      <c r="L179">
        <v>4.2253521126760563E-2</v>
      </c>
      <c r="M179">
        <v>0.20724346076458752</v>
      </c>
      <c r="N179">
        <v>4.7619047619047616E-2</v>
      </c>
      <c r="O179">
        <v>707</v>
      </c>
    </row>
    <row r="180" spans="1:15">
      <c r="A180">
        <v>46069</v>
      </c>
      <c r="B180" t="s">
        <v>42</v>
      </c>
      <c r="C180" t="s">
        <v>24</v>
      </c>
      <c r="D180" t="s">
        <v>25</v>
      </c>
      <c r="E180" t="s">
        <v>26</v>
      </c>
      <c r="F180" t="s">
        <v>19</v>
      </c>
      <c r="G180">
        <v>2703</v>
      </c>
      <c r="H180">
        <v>85</v>
      </c>
      <c r="I180">
        <v>63</v>
      </c>
      <c r="J180">
        <v>1</v>
      </c>
      <c r="K180">
        <v>2021</v>
      </c>
      <c r="L180">
        <v>2.3307436182019976E-2</v>
      </c>
      <c r="M180">
        <v>3.1446540880503145E-2</v>
      </c>
      <c r="N180">
        <v>1.5873015873015872E-2</v>
      </c>
      <c r="O180">
        <v>2021</v>
      </c>
    </row>
    <row r="181" spans="1:15">
      <c r="A181">
        <v>46069</v>
      </c>
      <c r="B181" t="s">
        <v>42</v>
      </c>
      <c r="C181" t="s">
        <v>16</v>
      </c>
      <c r="D181" t="s">
        <v>17</v>
      </c>
      <c r="E181" t="s">
        <v>18</v>
      </c>
      <c r="F181" t="s">
        <v>34</v>
      </c>
      <c r="G181">
        <v>1156</v>
      </c>
      <c r="H181">
        <v>251</v>
      </c>
      <c r="I181">
        <v>105</v>
      </c>
      <c r="J181">
        <v>14</v>
      </c>
      <c r="K181">
        <v>1050</v>
      </c>
      <c r="L181">
        <v>9.0830449826989623E-2</v>
      </c>
      <c r="M181">
        <v>0.2171280276816609</v>
      </c>
      <c r="N181">
        <v>0.13333333333333333</v>
      </c>
      <c r="O181">
        <v>75</v>
      </c>
    </row>
    <row r="182" spans="1:15">
      <c r="A182">
        <v>46070</v>
      </c>
      <c r="B182" t="s">
        <v>42</v>
      </c>
      <c r="C182" t="s">
        <v>31</v>
      </c>
      <c r="D182" t="s">
        <v>25</v>
      </c>
      <c r="E182" t="s">
        <v>26</v>
      </c>
      <c r="F182" t="s">
        <v>22</v>
      </c>
      <c r="G182">
        <v>13760</v>
      </c>
      <c r="H182">
        <v>134</v>
      </c>
      <c r="I182">
        <v>205</v>
      </c>
      <c r="J182">
        <v>1</v>
      </c>
      <c r="K182">
        <v>1967</v>
      </c>
      <c r="L182">
        <v>1.4898255813953489E-2</v>
      </c>
      <c r="M182">
        <v>9.7383720930232561E-3</v>
      </c>
      <c r="N182">
        <v>4.8780487804878049E-3</v>
      </c>
      <c r="O182">
        <v>1967</v>
      </c>
    </row>
    <row r="183" spans="1:15">
      <c r="A183">
        <v>46070</v>
      </c>
      <c r="B183" t="s">
        <v>42</v>
      </c>
      <c r="C183" t="s">
        <v>23</v>
      </c>
      <c r="D183" t="s">
        <v>17</v>
      </c>
      <c r="E183" t="s">
        <v>18</v>
      </c>
      <c r="F183" t="s">
        <v>22</v>
      </c>
      <c r="G183">
        <v>2197</v>
      </c>
      <c r="H183">
        <v>189</v>
      </c>
      <c r="I183">
        <v>130</v>
      </c>
      <c r="J183">
        <v>19</v>
      </c>
      <c r="K183">
        <v>2086</v>
      </c>
      <c r="L183">
        <v>5.9171597633136092E-2</v>
      </c>
      <c r="M183">
        <v>8.6026399635867085E-2</v>
      </c>
      <c r="N183">
        <v>0.14615384615384616</v>
      </c>
      <c r="O183">
        <v>109.78947368421052</v>
      </c>
    </row>
    <row r="184" spans="1:15">
      <c r="A184">
        <v>46070</v>
      </c>
      <c r="B184" t="s">
        <v>42</v>
      </c>
      <c r="C184" t="s">
        <v>33</v>
      </c>
      <c r="D184" t="s">
        <v>32</v>
      </c>
      <c r="E184" t="s">
        <v>18</v>
      </c>
      <c r="F184" t="s">
        <v>28</v>
      </c>
      <c r="G184">
        <v>2040</v>
      </c>
      <c r="H184">
        <v>77</v>
      </c>
      <c r="I184">
        <v>7</v>
      </c>
      <c r="J184">
        <v>0</v>
      </c>
      <c r="K184">
        <v>517</v>
      </c>
      <c r="L184">
        <v>3.4313725490196078E-3</v>
      </c>
      <c r="M184">
        <v>3.7745098039215684E-2</v>
      </c>
      <c r="N184">
        <v>0</v>
      </c>
    </row>
    <row r="185" spans="1:15">
      <c r="A185">
        <v>46071</v>
      </c>
      <c r="B185" t="s">
        <v>42</v>
      </c>
      <c r="C185" t="s">
        <v>20</v>
      </c>
      <c r="D185" t="s">
        <v>17</v>
      </c>
      <c r="E185" t="s">
        <v>18</v>
      </c>
      <c r="F185" t="s">
        <v>34</v>
      </c>
      <c r="G185">
        <v>745</v>
      </c>
      <c r="H185">
        <v>156</v>
      </c>
      <c r="I185">
        <v>62</v>
      </c>
      <c r="J185">
        <v>6</v>
      </c>
      <c r="K185">
        <v>1181</v>
      </c>
      <c r="L185">
        <v>8.3221476510067116E-2</v>
      </c>
      <c r="M185">
        <v>0.20939597315436242</v>
      </c>
      <c r="N185">
        <v>9.6774193548387094E-2</v>
      </c>
      <c r="O185">
        <v>196.83333333333334</v>
      </c>
    </row>
    <row r="186" spans="1:15">
      <c r="A186">
        <v>46071</v>
      </c>
      <c r="B186" t="s">
        <v>42</v>
      </c>
      <c r="C186" t="s">
        <v>31</v>
      </c>
      <c r="D186" t="s">
        <v>35</v>
      </c>
      <c r="E186" t="s">
        <v>18</v>
      </c>
      <c r="F186" t="s">
        <v>34</v>
      </c>
      <c r="G186">
        <v>20083</v>
      </c>
      <c r="H186">
        <v>286</v>
      </c>
      <c r="I186">
        <v>384</v>
      </c>
      <c r="J186">
        <v>5</v>
      </c>
      <c r="K186">
        <v>1167</v>
      </c>
      <c r="L186">
        <v>1.9120649305382664E-2</v>
      </c>
      <c r="M186">
        <v>1.4240900263904795E-2</v>
      </c>
      <c r="N186">
        <v>1.3020833333333334E-2</v>
      </c>
      <c r="O186">
        <v>233.4</v>
      </c>
    </row>
    <row r="187" spans="1:15">
      <c r="A187">
        <v>46072</v>
      </c>
      <c r="B187" t="s">
        <v>43</v>
      </c>
      <c r="C187" t="s">
        <v>20</v>
      </c>
      <c r="D187" t="s">
        <v>17</v>
      </c>
      <c r="E187" t="s">
        <v>18</v>
      </c>
      <c r="F187" t="s">
        <v>19</v>
      </c>
      <c r="G187">
        <v>1466</v>
      </c>
      <c r="H187">
        <v>273</v>
      </c>
      <c r="I187">
        <v>100</v>
      </c>
      <c r="J187">
        <v>10</v>
      </c>
      <c r="K187">
        <v>1278</v>
      </c>
      <c r="L187">
        <v>6.8212824010914053E-2</v>
      </c>
      <c r="M187">
        <v>0.18622100954979537</v>
      </c>
      <c r="N187">
        <v>0.1</v>
      </c>
      <c r="O187">
        <v>127.8</v>
      </c>
    </row>
    <row r="188" spans="1:15">
      <c r="A188">
        <v>46072</v>
      </c>
      <c r="B188" t="s">
        <v>43</v>
      </c>
      <c r="C188" t="s">
        <v>31</v>
      </c>
      <c r="D188" t="s">
        <v>32</v>
      </c>
      <c r="E188" t="s">
        <v>27</v>
      </c>
      <c r="F188" t="s">
        <v>34</v>
      </c>
      <c r="G188">
        <v>11460</v>
      </c>
      <c r="H188">
        <v>176</v>
      </c>
      <c r="I188">
        <v>192</v>
      </c>
      <c r="J188">
        <v>1</v>
      </c>
      <c r="K188">
        <v>1546</v>
      </c>
      <c r="L188">
        <v>1.6753926701570682E-2</v>
      </c>
      <c r="M188">
        <v>1.5357766143106457E-2</v>
      </c>
      <c r="N188">
        <v>5.208333333333333E-3</v>
      </c>
      <c r="O188">
        <v>1546</v>
      </c>
    </row>
    <row r="189" spans="1:15">
      <c r="A189">
        <v>46072</v>
      </c>
      <c r="B189" t="s">
        <v>43</v>
      </c>
      <c r="C189" t="s">
        <v>16</v>
      </c>
      <c r="D189" t="s">
        <v>25</v>
      </c>
      <c r="E189" t="s">
        <v>18</v>
      </c>
      <c r="F189" t="s">
        <v>19</v>
      </c>
      <c r="G189">
        <v>641</v>
      </c>
      <c r="H189">
        <v>129</v>
      </c>
      <c r="I189">
        <v>20</v>
      </c>
      <c r="J189">
        <v>1</v>
      </c>
      <c r="K189">
        <v>816</v>
      </c>
      <c r="L189">
        <v>3.1201248049921998E-2</v>
      </c>
      <c r="M189">
        <v>0.20124804992199688</v>
      </c>
      <c r="N189">
        <v>0.05</v>
      </c>
      <c r="O189">
        <v>816</v>
      </c>
    </row>
    <row r="190" spans="1:15">
      <c r="A190">
        <v>46072</v>
      </c>
      <c r="B190" t="s">
        <v>43</v>
      </c>
      <c r="C190" t="s">
        <v>33</v>
      </c>
      <c r="D190" t="s">
        <v>32</v>
      </c>
      <c r="E190" t="s">
        <v>26</v>
      </c>
      <c r="F190" t="s">
        <v>22</v>
      </c>
      <c r="G190">
        <v>2277</v>
      </c>
      <c r="H190">
        <v>63</v>
      </c>
      <c r="I190">
        <v>10</v>
      </c>
      <c r="J190">
        <v>0</v>
      </c>
      <c r="K190">
        <v>782</v>
      </c>
      <c r="L190">
        <v>4.391743522178305E-3</v>
      </c>
      <c r="M190">
        <v>2.766798418972332E-2</v>
      </c>
      <c r="N190">
        <v>0</v>
      </c>
    </row>
    <row r="191" spans="1:15">
      <c r="A191">
        <v>46073</v>
      </c>
      <c r="B191" t="s">
        <v>43</v>
      </c>
      <c r="C191" t="s">
        <v>16</v>
      </c>
      <c r="D191" t="s">
        <v>25</v>
      </c>
      <c r="E191" t="s">
        <v>18</v>
      </c>
      <c r="F191" t="s">
        <v>34</v>
      </c>
      <c r="G191">
        <v>598</v>
      </c>
      <c r="H191">
        <v>135</v>
      </c>
      <c r="I191">
        <v>36</v>
      </c>
      <c r="J191">
        <v>3</v>
      </c>
      <c r="K191">
        <v>1206</v>
      </c>
      <c r="L191">
        <v>6.0200668896321072E-2</v>
      </c>
      <c r="M191">
        <v>0.225752508361204</v>
      </c>
      <c r="N191">
        <v>8.3333333333333329E-2</v>
      </c>
      <c r="O191">
        <v>402</v>
      </c>
    </row>
    <row r="192" spans="1:15">
      <c r="A192">
        <v>46073</v>
      </c>
      <c r="B192" t="s">
        <v>43</v>
      </c>
      <c r="C192" t="s">
        <v>36</v>
      </c>
      <c r="D192" t="s">
        <v>17</v>
      </c>
      <c r="E192" t="s">
        <v>18</v>
      </c>
      <c r="F192" t="s">
        <v>30</v>
      </c>
      <c r="G192">
        <v>80</v>
      </c>
      <c r="H192">
        <v>37</v>
      </c>
      <c r="I192">
        <v>31</v>
      </c>
      <c r="J192">
        <v>10</v>
      </c>
      <c r="K192">
        <v>4507</v>
      </c>
      <c r="L192">
        <v>0.38750000000000001</v>
      </c>
      <c r="M192">
        <v>0.46250000000000002</v>
      </c>
      <c r="N192">
        <v>0.32258064516129031</v>
      </c>
      <c r="O192">
        <v>450.7</v>
      </c>
    </row>
    <row r="193" spans="1:15">
      <c r="A193">
        <v>46073</v>
      </c>
      <c r="B193" t="s">
        <v>43</v>
      </c>
      <c r="C193" t="s">
        <v>33</v>
      </c>
      <c r="D193" t="s">
        <v>21</v>
      </c>
      <c r="E193" t="s">
        <v>26</v>
      </c>
      <c r="F193" t="s">
        <v>28</v>
      </c>
      <c r="G193">
        <v>3072</v>
      </c>
      <c r="H193">
        <v>86</v>
      </c>
      <c r="I193">
        <v>26</v>
      </c>
      <c r="J193">
        <v>1</v>
      </c>
      <c r="K193">
        <v>620</v>
      </c>
      <c r="L193">
        <v>8.4635416666666661E-3</v>
      </c>
      <c r="M193">
        <v>2.7994791666666668E-2</v>
      </c>
      <c r="N193">
        <v>3.8461538461538464E-2</v>
      </c>
      <c r="O193">
        <v>620</v>
      </c>
    </row>
    <row r="194" spans="1:15">
      <c r="A194">
        <v>46073</v>
      </c>
      <c r="B194" t="s">
        <v>43</v>
      </c>
      <c r="C194" t="s">
        <v>24</v>
      </c>
      <c r="D194" t="s">
        <v>25</v>
      </c>
      <c r="E194" t="s">
        <v>27</v>
      </c>
      <c r="F194" t="s">
        <v>22</v>
      </c>
      <c r="G194">
        <v>5736</v>
      </c>
      <c r="H194">
        <v>147</v>
      </c>
      <c r="I194">
        <v>107</v>
      </c>
      <c r="J194">
        <v>1</v>
      </c>
      <c r="K194">
        <v>980</v>
      </c>
      <c r="L194">
        <v>1.8654114365411437E-2</v>
      </c>
      <c r="M194">
        <v>2.5627615062761507E-2</v>
      </c>
      <c r="N194">
        <v>9.3457943925233638E-3</v>
      </c>
      <c r="O194">
        <v>980</v>
      </c>
    </row>
    <row r="195" spans="1:15">
      <c r="A195">
        <v>46074</v>
      </c>
      <c r="B195" t="s">
        <v>43</v>
      </c>
      <c r="C195" t="s">
        <v>33</v>
      </c>
      <c r="D195" t="s">
        <v>25</v>
      </c>
      <c r="E195" t="s">
        <v>18</v>
      </c>
      <c r="F195" t="s">
        <v>22</v>
      </c>
      <c r="G195">
        <v>2953</v>
      </c>
      <c r="H195">
        <v>84</v>
      </c>
      <c r="I195">
        <v>19</v>
      </c>
      <c r="J195">
        <v>1</v>
      </c>
      <c r="K195">
        <v>665</v>
      </c>
      <c r="L195">
        <v>6.4341347781916693E-3</v>
      </c>
      <c r="M195">
        <v>2.8445648493057907E-2</v>
      </c>
      <c r="N195">
        <v>5.2631578947368418E-2</v>
      </c>
      <c r="O195">
        <v>665</v>
      </c>
    </row>
    <row r="196" spans="1:15">
      <c r="A196">
        <v>46074</v>
      </c>
      <c r="B196" t="s">
        <v>43</v>
      </c>
      <c r="C196" t="s">
        <v>16</v>
      </c>
      <c r="D196" t="s">
        <v>21</v>
      </c>
      <c r="E196" t="s">
        <v>18</v>
      </c>
      <c r="F196" t="s">
        <v>34</v>
      </c>
      <c r="G196">
        <v>612</v>
      </c>
      <c r="H196">
        <v>122</v>
      </c>
      <c r="I196">
        <v>46</v>
      </c>
      <c r="J196">
        <v>7</v>
      </c>
      <c r="K196">
        <v>946</v>
      </c>
      <c r="L196">
        <v>7.5163398692810454E-2</v>
      </c>
      <c r="M196">
        <v>0.19934640522875818</v>
      </c>
      <c r="N196">
        <v>0.15217391304347827</v>
      </c>
      <c r="O196">
        <v>135.14285714285714</v>
      </c>
    </row>
    <row r="197" spans="1:15">
      <c r="A197">
        <v>46074</v>
      </c>
      <c r="B197" t="s">
        <v>43</v>
      </c>
      <c r="C197" t="s">
        <v>23</v>
      </c>
      <c r="D197" t="s">
        <v>25</v>
      </c>
      <c r="E197" t="s">
        <v>27</v>
      </c>
      <c r="F197" t="s">
        <v>28</v>
      </c>
      <c r="G197">
        <v>2014</v>
      </c>
      <c r="H197">
        <v>166</v>
      </c>
      <c r="I197">
        <v>93</v>
      </c>
      <c r="J197">
        <v>8</v>
      </c>
      <c r="K197">
        <v>2425</v>
      </c>
      <c r="L197">
        <v>4.6176762661370406E-2</v>
      </c>
      <c r="M197">
        <v>8.242303872889771E-2</v>
      </c>
      <c r="N197">
        <v>8.6021505376344093E-2</v>
      </c>
      <c r="O197">
        <v>303.125</v>
      </c>
    </row>
    <row r="198" spans="1:15">
      <c r="A198">
        <v>46074</v>
      </c>
      <c r="B198" t="s">
        <v>43</v>
      </c>
      <c r="C198" t="s">
        <v>36</v>
      </c>
      <c r="D198" t="s">
        <v>17</v>
      </c>
      <c r="E198" t="s">
        <v>26</v>
      </c>
      <c r="F198" t="s">
        <v>34</v>
      </c>
      <c r="G198">
        <v>80</v>
      </c>
      <c r="H198">
        <v>35</v>
      </c>
      <c r="I198">
        <v>49</v>
      </c>
      <c r="J198">
        <v>28</v>
      </c>
      <c r="K198">
        <v>3842</v>
      </c>
      <c r="L198">
        <v>0.61250000000000004</v>
      </c>
      <c r="M198">
        <v>0.4375</v>
      </c>
      <c r="N198">
        <v>0.5714285714285714</v>
      </c>
      <c r="O198">
        <v>137.21428571428572</v>
      </c>
    </row>
    <row r="199" spans="1:15">
      <c r="A199">
        <v>46075</v>
      </c>
      <c r="B199" t="s">
        <v>43</v>
      </c>
      <c r="C199" t="s">
        <v>33</v>
      </c>
      <c r="D199" t="s">
        <v>17</v>
      </c>
      <c r="E199" t="s">
        <v>18</v>
      </c>
      <c r="F199" t="s">
        <v>34</v>
      </c>
      <c r="G199">
        <v>1232</v>
      </c>
      <c r="H199">
        <v>52</v>
      </c>
      <c r="I199">
        <v>14</v>
      </c>
      <c r="J199">
        <v>0</v>
      </c>
      <c r="K199">
        <v>829</v>
      </c>
      <c r="L199">
        <v>1.1363636363636364E-2</v>
      </c>
      <c r="M199">
        <v>4.2207792207792208E-2</v>
      </c>
      <c r="N199">
        <v>0</v>
      </c>
    </row>
    <row r="200" spans="1:15">
      <c r="A200">
        <v>46075</v>
      </c>
      <c r="B200" t="s">
        <v>43</v>
      </c>
      <c r="C200" t="s">
        <v>36</v>
      </c>
      <c r="D200" t="s">
        <v>35</v>
      </c>
      <c r="E200" t="s">
        <v>29</v>
      </c>
      <c r="F200" t="s">
        <v>30</v>
      </c>
      <c r="G200">
        <v>80</v>
      </c>
      <c r="H200">
        <v>50</v>
      </c>
      <c r="I200">
        <v>24</v>
      </c>
      <c r="J200">
        <v>10</v>
      </c>
      <c r="K200">
        <v>6918</v>
      </c>
      <c r="L200">
        <v>0.3</v>
      </c>
      <c r="M200">
        <v>0.625</v>
      </c>
      <c r="N200">
        <v>0.41666666666666669</v>
      </c>
      <c r="O200">
        <v>691.8</v>
      </c>
    </row>
    <row r="201" spans="1:15">
      <c r="A201">
        <v>46075</v>
      </c>
      <c r="B201" t="s">
        <v>43</v>
      </c>
      <c r="C201" t="s">
        <v>31</v>
      </c>
      <c r="D201" t="s">
        <v>17</v>
      </c>
      <c r="E201" t="s">
        <v>26</v>
      </c>
      <c r="F201" t="s">
        <v>19</v>
      </c>
      <c r="G201">
        <v>16960</v>
      </c>
      <c r="H201">
        <v>223</v>
      </c>
      <c r="I201">
        <v>407</v>
      </c>
      <c r="J201">
        <v>6</v>
      </c>
      <c r="K201">
        <v>1661</v>
      </c>
      <c r="L201">
        <v>2.3997641509433964E-2</v>
      </c>
      <c r="M201">
        <v>1.3148584905660378E-2</v>
      </c>
      <c r="N201">
        <v>1.4742014742014743E-2</v>
      </c>
      <c r="O201">
        <v>276.83333333333331</v>
      </c>
    </row>
    <row r="202" spans="1:15">
      <c r="A202">
        <v>46075</v>
      </c>
      <c r="B202" t="s">
        <v>43</v>
      </c>
      <c r="C202" t="s">
        <v>24</v>
      </c>
      <c r="D202" t="s">
        <v>35</v>
      </c>
      <c r="E202" t="s">
        <v>18</v>
      </c>
      <c r="F202" t="s">
        <v>22</v>
      </c>
      <c r="G202">
        <v>5873</v>
      </c>
      <c r="H202">
        <v>152</v>
      </c>
      <c r="I202">
        <v>60</v>
      </c>
      <c r="J202">
        <v>1</v>
      </c>
      <c r="K202">
        <v>773</v>
      </c>
      <c r="L202">
        <v>1.021624382768602E-2</v>
      </c>
      <c r="M202">
        <v>2.5881151030137918E-2</v>
      </c>
      <c r="N202">
        <v>1.6666666666666666E-2</v>
      </c>
      <c r="O202">
        <v>773</v>
      </c>
    </row>
    <row r="203" spans="1:15">
      <c r="A203">
        <v>46075</v>
      </c>
      <c r="B203" t="s">
        <v>43</v>
      </c>
      <c r="C203" t="s">
        <v>23</v>
      </c>
      <c r="D203" t="s">
        <v>21</v>
      </c>
      <c r="E203" t="s">
        <v>27</v>
      </c>
      <c r="F203" t="s">
        <v>30</v>
      </c>
      <c r="G203">
        <v>920</v>
      </c>
      <c r="H203">
        <v>72</v>
      </c>
      <c r="I203">
        <v>49</v>
      </c>
      <c r="J203">
        <v>12</v>
      </c>
      <c r="K203">
        <v>2408</v>
      </c>
      <c r="L203">
        <v>5.3260869565217389E-2</v>
      </c>
      <c r="M203">
        <v>7.8260869565217397E-2</v>
      </c>
      <c r="N203">
        <v>0.24489795918367346</v>
      </c>
      <c r="O203">
        <v>200.66666666666666</v>
      </c>
    </row>
    <row r="204" spans="1:15">
      <c r="A204">
        <v>46076</v>
      </c>
      <c r="B204" t="s">
        <v>43</v>
      </c>
      <c r="C204" t="s">
        <v>33</v>
      </c>
      <c r="D204" t="s">
        <v>21</v>
      </c>
      <c r="E204" t="s">
        <v>26</v>
      </c>
      <c r="F204" t="s">
        <v>19</v>
      </c>
      <c r="G204">
        <v>1490</v>
      </c>
      <c r="H204">
        <v>41</v>
      </c>
      <c r="I204">
        <v>22</v>
      </c>
      <c r="J204">
        <v>2</v>
      </c>
      <c r="K204">
        <v>485</v>
      </c>
      <c r="L204">
        <v>1.4765100671140939E-2</v>
      </c>
      <c r="M204">
        <v>2.7516778523489934E-2</v>
      </c>
      <c r="N204">
        <v>9.0909090909090912E-2</v>
      </c>
      <c r="O204">
        <v>242.5</v>
      </c>
    </row>
    <row r="205" spans="1:15">
      <c r="A205">
        <v>46076</v>
      </c>
      <c r="B205" t="s">
        <v>43</v>
      </c>
      <c r="C205" t="s">
        <v>20</v>
      </c>
      <c r="D205" t="s">
        <v>25</v>
      </c>
      <c r="E205" t="s">
        <v>29</v>
      </c>
      <c r="F205" t="s">
        <v>28</v>
      </c>
      <c r="G205">
        <v>1418</v>
      </c>
      <c r="H205">
        <v>297</v>
      </c>
      <c r="I205">
        <v>100</v>
      </c>
      <c r="J205">
        <v>4</v>
      </c>
      <c r="K205">
        <v>962</v>
      </c>
      <c r="L205">
        <v>7.0521861777150918E-2</v>
      </c>
      <c r="M205">
        <v>0.20944992947813823</v>
      </c>
      <c r="N205">
        <v>0.04</v>
      </c>
      <c r="O205">
        <v>240.5</v>
      </c>
    </row>
    <row r="206" spans="1:15">
      <c r="A206">
        <v>46076</v>
      </c>
      <c r="B206" t="s">
        <v>43</v>
      </c>
      <c r="C206" t="s">
        <v>24</v>
      </c>
      <c r="D206" t="s">
        <v>25</v>
      </c>
      <c r="E206" t="s">
        <v>18</v>
      </c>
      <c r="F206" t="s">
        <v>30</v>
      </c>
      <c r="G206">
        <v>8288</v>
      </c>
      <c r="H206">
        <v>164</v>
      </c>
      <c r="I206">
        <v>144</v>
      </c>
      <c r="J206">
        <v>2</v>
      </c>
      <c r="K206">
        <v>1039</v>
      </c>
      <c r="L206">
        <v>1.7374517374517374E-2</v>
      </c>
      <c r="M206">
        <v>1.9787644787644786E-2</v>
      </c>
      <c r="N206">
        <v>1.3888888888888888E-2</v>
      </c>
      <c r="O206">
        <v>519.5</v>
      </c>
    </row>
    <row r="207" spans="1:15">
      <c r="A207">
        <v>46076</v>
      </c>
      <c r="B207" t="s">
        <v>43</v>
      </c>
      <c r="C207" t="s">
        <v>31</v>
      </c>
      <c r="D207" t="s">
        <v>25</v>
      </c>
      <c r="E207" t="s">
        <v>18</v>
      </c>
      <c r="F207" t="s">
        <v>34</v>
      </c>
      <c r="G207">
        <v>7072</v>
      </c>
      <c r="H207">
        <v>106</v>
      </c>
      <c r="I207">
        <v>176</v>
      </c>
      <c r="J207">
        <v>1</v>
      </c>
      <c r="K207">
        <v>1361</v>
      </c>
      <c r="L207">
        <v>2.4886877828054297E-2</v>
      </c>
      <c r="M207">
        <v>1.498868778280543E-2</v>
      </c>
      <c r="N207">
        <v>5.681818181818182E-3</v>
      </c>
      <c r="O207">
        <v>1361</v>
      </c>
    </row>
    <row r="208" spans="1:15">
      <c r="A208">
        <v>46077</v>
      </c>
      <c r="B208" t="s">
        <v>43</v>
      </c>
      <c r="C208" t="s">
        <v>23</v>
      </c>
      <c r="D208" t="s">
        <v>17</v>
      </c>
      <c r="E208" t="s">
        <v>26</v>
      </c>
      <c r="F208" t="s">
        <v>19</v>
      </c>
      <c r="G208">
        <v>1409</v>
      </c>
      <c r="H208">
        <v>144</v>
      </c>
      <c r="I208">
        <v>62</v>
      </c>
      <c r="J208">
        <v>7</v>
      </c>
      <c r="K208">
        <v>2951</v>
      </c>
      <c r="L208">
        <v>4.4002838892831797E-2</v>
      </c>
      <c r="M208">
        <v>0.1022001419446416</v>
      </c>
      <c r="N208">
        <v>0.11290322580645161</v>
      </c>
      <c r="O208">
        <v>421.57142857142856</v>
      </c>
    </row>
    <row r="209" spans="1:15">
      <c r="A209">
        <v>46077</v>
      </c>
      <c r="B209" t="s">
        <v>43</v>
      </c>
      <c r="C209" t="s">
        <v>20</v>
      </c>
      <c r="D209" t="s">
        <v>25</v>
      </c>
      <c r="E209" t="s">
        <v>18</v>
      </c>
      <c r="F209" t="s">
        <v>22</v>
      </c>
      <c r="G209">
        <v>1834</v>
      </c>
      <c r="H209">
        <v>205</v>
      </c>
      <c r="I209">
        <v>61</v>
      </c>
      <c r="J209">
        <v>4</v>
      </c>
      <c r="K209">
        <v>1189</v>
      </c>
      <c r="L209">
        <v>3.3260632497273721E-2</v>
      </c>
      <c r="M209">
        <v>0.11177753544165758</v>
      </c>
      <c r="N209">
        <v>6.5573770491803282E-2</v>
      </c>
      <c r="O209">
        <v>297.25</v>
      </c>
    </row>
    <row r="210" spans="1:15">
      <c r="A210">
        <v>46078</v>
      </c>
      <c r="B210" t="s">
        <v>43</v>
      </c>
      <c r="C210" t="s">
        <v>33</v>
      </c>
      <c r="D210" t="s">
        <v>25</v>
      </c>
      <c r="E210" t="s">
        <v>26</v>
      </c>
      <c r="F210" t="s">
        <v>19</v>
      </c>
      <c r="G210">
        <v>1678</v>
      </c>
      <c r="H210">
        <v>71</v>
      </c>
      <c r="I210">
        <v>13</v>
      </c>
      <c r="J210">
        <v>0</v>
      </c>
      <c r="L210">
        <v>7.7473182359952325E-3</v>
      </c>
      <c r="M210">
        <v>4.2312276519666271E-2</v>
      </c>
      <c r="N210">
        <v>0</v>
      </c>
    </row>
    <row r="211" spans="1:15">
      <c r="A211">
        <v>46078</v>
      </c>
      <c r="B211" t="s">
        <v>43</v>
      </c>
      <c r="C211" t="s">
        <v>23</v>
      </c>
      <c r="D211" t="s">
        <v>25</v>
      </c>
      <c r="E211" t="s">
        <v>18</v>
      </c>
      <c r="F211" t="s">
        <v>19</v>
      </c>
      <c r="G211">
        <v>1539</v>
      </c>
      <c r="H211">
        <v>152</v>
      </c>
      <c r="I211">
        <v>53</v>
      </c>
      <c r="J211">
        <v>10</v>
      </c>
      <c r="K211">
        <v>1601</v>
      </c>
      <c r="L211">
        <v>3.4437946718648471E-2</v>
      </c>
      <c r="M211">
        <v>9.8765432098765427E-2</v>
      </c>
      <c r="N211">
        <v>0.18867924528301888</v>
      </c>
      <c r="O211">
        <v>160.1</v>
      </c>
    </row>
    <row r="212" spans="1:15">
      <c r="A212">
        <v>46078</v>
      </c>
      <c r="B212" t="s">
        <v>43</v>
      </c>
      <c r="C212" t="s">
        <v>16</v>
      </c>
      <c r="D212" t="s">
        <v>17</v>
      </c>
      <c r="E212" t="s">
        <v>29</v>
      </c>
      <c r="F212" t="s">
        <v>28</v>
      </c>
      <c r="G212">
        <v>757</v>
      </c>
      <c r="H212">
        <v>133</v>
      </c>
      <c r="I212">
        <v>47</v>
      </c>
      <c r="J212">
        <v>5</v>
      </c>
      <c r="K212">
        <v>866</v>
      </c>
      <c r="L212">
        <v>6.2087186261558784E-2</v>
      </c>
      <c r="M212">
        <v>0.17569352708058125</v>
      </c>
      <c r="N212">
        <v>0.10638297872340426</v>
      </c>
      <c r="O212">
        <v>173.2</v>
      </c>
    </row>
    <row r="213" spans="1:15">
      <c r="A213">
        <v>46078</v>
      </c>
      <c r="B213" t="s">
        <v>43</v>
      </c>
      <c r="C213" t="s">
        <v>20</v>
      </c>
      <c r="D213" t="s">
        <v>17</v>
      </c>
      <c r="E213" t="s">
        <v>18</v>
      </c>
      <c r="F213" t="s">
        <v>34</v>
      </c>
      <c r="G213">
        <v>2348</v>
      </c>
      <c r="H213">
        <v>454</v>
      </c>
      <c r="I213">
        <v>161</v>
      </c>
      <c r="J213">
        <v>15</v>
      </c>
      <c r="K213">
        <v>1361</v>
      </c>
      <c r="L213">
        <v>6.8568994889267459E-2</v>
      </c>
      <c r="M213">
        <v>0.19335604770017037</v>
      </c>
      <c r="N213">
        <v>9.3167701863354033E-2</v>
      </c>
      <c r="O213">
        <v>90.733333333333334</v>
      </c>
    </row>
    <row r="214" spans="1:15">
      <c r="A214">
        <v>46079</v>
      </c>
      <c r="B214" t="s">
        <v>44</v>
      </c>
      <c r="C214" t="s">
        <v>31</v>
      </c>
      <c r="D214" t="s">
        <v>21</v>
      </c>
      <c r="E214" t="s">
        <v>27</v>
      </c>
      <c r="F214" t="s">
        <v>34</v>
      </c>
      <c r="G214">
        <v>4376</v>
      </c>
      <c r="H214">
        <v>58</v>
      </c>
      <c r="I214">
        <v>67</v>
      </c>
      <c r="J214">
        <v>0</v>
      </c>
      <c r="K214">
        <v>1828</v>
      </c>
      <c r="L214">
        <v>1.5310786106032906E-2</v>
      </c>
      <c r="M214">
        <v>1.3254113345521023E-2</v>
      </c>
      <c r="N214">
        <v>0</v>
      </c>
    </row>
    <row r="215" spans="1:15">
      <c r="A215">
        <v>46079</v>
      </c>
      <c r="B215" t="s">
        <v>44</v>
      </c>
      <c r="C215" t="s">
        <v>24</v>
      </c>
      <c r="D215" t="s">
        <v>25</v>
      </c>
      <c r="E215" t="s">
        <v>26</v>
      </c>
      <c r="F215" t="s">
        <v>19</v>
      </c>
      <c r="G215">
        <v>4920</v>
      </c>
      <c r="H215">
        <v>124</v>
      </c>
      <c r="I215">
        <v>124</v>
      </c>
      <c r="J215">
        <v>2</v>
      </c>
      <c r="K215">
        <v>1430</v>
      </c>
      <c r="L215">
        <v>2.5203252032520326E-2</v>
      </c>
      <c r="M215">
        <v>2.5203252032520326E-2</v>
      </c>
      <c r="N215">
        <v>1.6129032258064516E-2</v>
      </c>
      <c r="O215">
        <v>715</v>
      </c>
    </row>
    <row r="216" spans="1:15">
      <c r="A216">
        <v>46079</v>
      </c>
      <c r="B216" t="s">
        <v>44</v>
      </c>
      <c r="C216" t="s">
        <v>16</v>
      </c>
      <c r="D216" t="s">
        <v>25</v>
      </c>
      <c r="E216" t="s">
        <v>27</v>
      </c>
      <c r="F216" t="s">
        <v>22</v>
      </c>
      <c r="G216">
        <v>715</v>
      </c>
      <c r="H216">
        <v>74</v>
      </c>
      <c r="I216">
        <v>19</v>
      </c>
      <c r="J216">
        <v>2</v>
      </c>
      <c r="K216">
        <v>1287</v>
      </c>
      <c r="L216">
        <v>2.6573426573426574E-2</v>
      </c>
      <c r="M216">
        <v>0.10349650349650349</v>
      </c>
      <c r="N216">
        <v>0.10526315789473684</v>
      </c>
      <c r="O216">
        <v>643.5</v>
      </c>
    </row>
    <row r="217" spans="1:15">
      <c r="A217">
        <v>46080</v>
      </c>
      <c r="B217" t="s">
        <v>44</v>
      </c>
      <c r="C217" t="s">
        <v>33</v>
      </c>
      <c r="D217" t="s">
        <v>17</v>
      </c>
      <c r="E217" t="s">
        <v>18</v>
      </c>
      <c r="F217" t="s">
        <v>28</v>
      </c>
      <c r="G217">
        <v>2288</v>
      </c>
      <c r="H217">
        <v>89</v>
      </c>
      <c r="I217">
        <v>16</v>
      </c>
      <c r="J217">
        <v>1</v>
      </c>
      <c r="K217">
        <v>798</v>
      </c>
      <c r="L217">
        <v>6.993006993006993E-3</v>
      </c>
      <c r="M217">
        <v>3.88986013986014E-2</v>
      </c>
      <c r="N217">
        <v>6.25E-2</v>
      </c>
      <c r="O217">
        <v>798</v>
      </c>
    </row>
    <row r="218" spans="1:15">
      <c r="A218">
        <v>46080</v>
      </c>
      <c r="B218" t="s">
        <v>44</v>
      </c>
      <c r="C218" t="s">
        <v>16</v>
      </c>
      <c r="D218" t="s">
        <v>35</v>
      </c>
      <c r="E218" t="s">
        <v>18</v>
      </c>
      <c r="F218" t="s">
        <v>19</v>
      </c>
      <c r="G218">
        <v>764</v>
      </c>
      <c r="H218">
        <v>100</v>
      </c>
      <c r="I218">
        <v>33</v>
      </c>
      <c r="J218">
        <v>2</v>
      </c>
      <c r="K218">
        <v>963</v>
      </c>
      <c r="L218">
        <v>4.3193717277486908E-2</v>
      </c>
      <c r="M218">
        <v>0.13089005235602094</v>
      </c>
      <c r="N218">
        <v>6.0606060606060608E-2</v>
      </c>
      <c r="O218">
        <v>481.5</v>
      </c>
    </row>
    <row r="219" spans="1:15">
      <c r="A219">
        <v>46080</v>
      </c>
      <c r="B219" t="s">
        <v>44</v>
      </c>
      <c r="C219" t="s">
        <v>20</v>
      </c>
      <c r="D219" t="s">
        <v>25</v>
      </c>
      <c r="E219" t="s">
        <v>18</v>
      </c>
      <c r="F219" t="s">
        <v>34</v>
      </c>
      <c r="G219">
        <v>1842</v>
      </c>
      <c r="H219">
        <v>366</v>
      </c>
      <c r="I219">
        <v>104</v>
      </c>
      <c r="J219">
        <v>8</v>
      </c>
      <c r="K219">
        <v>1593</v>
      </c>
      <c r="L219">
        <v>5.6460369163952223E-2</v>
      </c>
      <c r="M219">
        <v>0.1986970684039088</v>
      </c>
      <c r="N219">
        <v>7.6923076923076927E-2</v>
      </c>
      <c r="O219">
        <v>199.125</v>
      </c>
    </row>
    <row r="220" spans="1:15">
      <c r="A220">
        <v>46080</v>
      </c>
      <c r="B220" t="s">
        <v>44</v>
      </c>
      <c r="C220" t="s">
        <v>31</v>
      </c>
      <c r="D220" t="s">
        <v>25</v>
      </c>
      <c r="E220" t="s">
        <v>26</v>
      </c>
      <c r="F220" t="s">
        <v>34</v>
      </c>
      <c r="G220">
        <v>10748</v>
      </c>
      <c r="H220">
        <v>156</v>
      </c>
      <c r="I220">
        <v>218</v>
      </c>
      <c r="J220">
        <v>2</v>
      </c>
      <c r="K220">
        <v>1006</v>
      </c>
      <c r="L220">
        <v>2.0282843319687383E-2</v>
      </c>
      <c r="M220">
        <v>1.4514328247115743E-2</v>
      </c>
      <c r="N220">
        <v>9.1743119266055051E-3</v>
      </c>
      <c r="O220">
        <v>503</v>
      </c>
    </row>
    <row r="221" spans="1:15">
      <c r="A221">
        <v>46081</v>
      </c>
      <c r="B221" t="s">
        <v>44</v>
      </c>
      <c r="C221" t="s">
        <v>20</v>
      </c>
      <c r="D221" t="s">
        <v>17</v>
      </c>
      <c r="E221" t="s">
        <v>29</v>
      </c>
      <c r="F221" t="s">
        <v>22</v>
      </c>
      <c r="G221">
        <v>2412</v>
      </c>
      <c r="H221">
        <v>308</v>
      </c>
      <c r="I221">
        <v>112</v>
      </c>
      <c r="J221">
        <v>6</v>
      </c>
      <c r="K221">
        <v>834</v>
      </c>
      <c r="L221">
        <v>4.6434494195688222E-2</v>
      </c>
      <c r="M221">
        <v>0.12769485903814262</v>
      </c>
      <c r="N221">
        <v>5.3571428571428568E-2</v>
      </c>
      <c r="O221">
        <v>139</v>
      </c>
    </row>
    <row r="222" spans="1:15">
      <c r="A222">
        <v>46081</v>
      </c>
      <c r="B222" t="s">
        <v>44</v>
      </c>
      <c r="C222" t="s">
        <v>23</v>
      </c>
      <c r="D222" t="s">
        <v>25</v>
      </c>
      <c r="E222" t="s">
        <v>18</v>
      </c>
      <c r="F222" t="s">
        <v>30</v>
      </c>
      <c r="G222">
        <v>1021</v>
      </c>
      <c r="H222">
        <v>84</v>
      </c>
      <c r="I222">
        <v>31</v>
      </c>
      <c r="J222">
        <v>4</v>
      </c>
      <c r="K222">
        <v>3597</v>
      </c>
      <c r="L222">
        <v>3.0362389813907934E-2</v>
      </c>
      <c r="M222">
        <v>8.2272282076395684E-2</v>
      </c>
      <c r="N222">
        <v>0.12903225806451613</v>
      </c>
      <c r="O222">
        <v>899.25</v>
      </c>
    </row>
    <row r="223" spans="1:15">
      <c r="A223">
        <v>46081</v>
      </c>
      <c r="B223" t="s">
        <v>44</v>
      </c>
      <c r="C223" t="s">
        <v>16</v>
      </c>
      <c r="D223" t="s">
        <v>25</v>
      </c>
      <c r="E223" t="s">
        <v>27</v>
      </c>
      <c r="F223" t="s">
        <v>34</v>
      </c>
      <c r="G223">
        <v>1048</v>
      </c>
      <c r="H223">
        <v>154</v>
      </c>
      <c r="I223">
        <v>65</v>
      </c>
      <c r="J223">
        <v>4</v>
      </c>
      <c r="K223">
        <v>907</v>
      </c>
      <c r="L223">
        <v>6.2022900763358778E-2</v>
      </c>
      <c r="M223">
        <v>0.14694656488549618</v>
      </c>
      <c r="N223">
        <v>6.1538461538461542E-2</v>
      </c>
      <c r="O223">
        <v>226.75</v>
      </c>
    </row>
    <row r="224" spans="1:15">
      <c r="A224">
        <v>46082</v>
      </c>
      <c r="B224" t="s">
        <v>44</v>
      </c>
      <c r="C224" t="s">
        <v>20</v>
      </c>
      <c r="D224" t="s">
        <v>25</v>
      </c>
      <c r="E224" t="s">
        <v>26</v>
      </c>
      <c r="F224" t="s">
        <v>34</v>
      </c>
      <c r="G224">
        <v>1344</v>
      </c>
      <c r="H224">
        <v>308</v>
      </c>
      <c r="I224">
        <v>108</v>
      </c>
      <c r="J224">
        <v>5</v>
      </c>
      <c r="K224">
        <v>1453</v>
      </c>
      <c r="L224">
        <v>8.0357142857142863E-2</v>
      </c>
      <c r="M224">
        <v>0.22916666666666666</v>
      </c>
      <c r="N224">
        <v>4.6296296296296294E-2</v>
      </c>
      <c r="O224">
        <v>290.60000000000002</v>
      </c>
    </row>
    <row r="225" spans="1:15">
      <c r="A225">
        <v>46082</v>
      </c>
      <c r="B225" t="s">
        <v>44</v>
      </c>
      <c r="C225" t="s">
        <v>24</v>
      </c>
      <c r="D225" t="s">
        <v>32</v>
      </c>
      <c r="E225" t="s">
        <v>18</v>
      </c>
      <c r="F225" t="s">
        <v>34</v>
      </c>
      <c r="G225">
        <v>5625</v>
      </c>
      <c r="H225">
        <v>214</v>
      </c>
      <c r="I225">
        <v>61</v>
      </c>
      <c r="J225">
        <v>1</v>
      </c>
      <c r="K225">
        <v>1471</v>
      </c>
      <c r="L225">
        <v>1.0844444444444445E-2</v>
      </c>
      <c r="M225">
        <v>3.8044444444444443E-2</v>
      </c>
      <c r="N225">
        <v>1.6393442622950821E-2</v>
      </c>
      <c r="O225">
        <v>1471</v>
      </c>
    </row>
    <row r="226" spans="1:15">
      <c r="A226">
        <v>46082</v>
      </c>
      <c r="B226" t="s">
        <v>44</v>
      </c>
      <c r="C226" t="s">
        <v>31</v>
      </c>
      <c r="D226" t="s">
        <v>17</v>
      </c>
      <c r="E226" t="s">
        <v>26</v>
      </c>
      <c r="F226" t="s">
        <v>34</v>
      </c>
      <c r="G226">
        <v>8086</v>
      </c>
      <c r="H226">
        <v>89</v>
      </c>
      <c r="I226">
        <v>167</v>
      </c>
      <c r="J226">
        <v>2</v>
      </c>
      <c r="K226">
        <v>2102</v>
      </c>
      <c r="L226">
        <v>2.0652980460054416E-2</v>
      </c>
      <c r="M226">
        <v>1.1006678209250557E-2</v>
      </c>
      <c r="N226">
        <v>1.1976047904191617E-2</v>
      </c>
      <c r="O226">
        <v>1051</v>
      </c>
    </row>
    <row r="227" spans="1:15">
      <c r="A227">
        <v>46082</v>
      </c>
      <c r="B227" t="s">
        <v>44</v>
      </c>
      <c r="C227" t="s">
        <v>23</v>
      </c>
      <c r="D227" t="s">
        <v>25</v>
      </c>
      <c r="E227" t="s">
        <v>29</v>
      </c>
      <c r="F227" t="s">
        <v>34</v>
      </c>
      <c r="G227">
        <v>1855</v>
      </c>
      <c r="H227">
        <v>237</v>
      </c>
      <c r="I227">
        <v>100</v>
      </c>
      <c r="J227">
        <v>8</v>
      </c>
      <c r="K227">
        <v>3413</v>
      </c>
      <c r="L227">
        <v>5.3908355795148251E-2</v>
      </c>
      <c r="M227">
        <v>0.12776280323450134</v>
      </c>
      <c r="N227">
        <v>0.08</v>
      </c>
      <c r="O227">
        <v>426.625</v>
      </c>
    </row>
    <row r="228" spans="1:15">
      <c r="A228">
        <v>46083</v>
      </c>
      <c r="B228" t="s">
        <v>44</v>
      </c>
      <c r="C228" t="s">
        <v>16</v>
      </c>
      <c r="D228" t="s">
        <v>35</v>
      </c>
      <c r="E228" t="s">
        <v>18</v>
      </c>
      <c r="F228" t="s">
        <v>34</v>
      </c>
      <c r="G228">
        <v>738</v>
      </c>
      <c r="H228">
        <v>115</v>
      </c>
      <c r="I228">
        <v>24</v>
      </c>
      <c r="J228">
        <v>1</v>
      </c>
      <c r="K228">
        <v>1278</v>
      </c>
      <c r="L228">
        <v>3.2520325203252036E-2</v>
      </c>
      <c r="M228">
        <v>0.15582655826558264</v>
      </c>
      <c r="N228">
        <v>4.1666666666666664E-2</v>
      </c>
      <c r="O228">
        <v>1278</v>
      </c>
    </row>
    <row r="229" spans="1:15">
      <c r="A229">
        <v>46083</v>
      </c>
      <c r="B229" t="s">
        <v>44</v>
      </c>
      <c r="C229" t="s">
        <v>24</v>
      </c>
      <c r="D229" t="s">
        <v>17</v>
      </c>
      <c r="E229" t="s">
        <v>18</v>
      </c>
      <c r="F229" t="s">
        <v>22</v>
      </c>
      <c r="G229">
        <v>3248</v>
      </c>
      <c r="H229">
        <v>52</v>
      </c>
      <c r="I229">
        <v>51</v>
      </c>
      <c r="J229">
        <v>1</v>
      </c>
      <c r="K229">
        <v>1885</v>
      </c>
      <c r="L229">
        <v>1.5701970443349755E-2</v>
      </c>
      <c r="M229">
        <v>1.600985221674877E-2</v>
      </c>
      <c r="N229">
        <v>1.9607843137254902E-2</v>
      </c>
      <c r="O229">
        <v>1885</v>
      </c>
    </row>
    <row r="230" spans="1:15">
      <c r="A230">
        <v>46083</v>
      </c>
      <c r="B230" t="s">
        <v>44</v>
      </c>
      <c r="C230" t="s">
        <v>33</v>
      </c>
      <c r="D230" t="s">
        <v>35</v>
      </c>
      <c r="E230" t="s">
        <v>26</v>
      </c>
      <c r="F230" t="s">
        <v>28</v>
      </c>
      <c r="G230">
        <v>2350</v>
      </c>
      <c r="H230">
        <v>77</v>
      </c>
      <c r="I230">
        <v>15</v>
      </c>
      <c r="J230">
        <v>0</v>
      </c>
      <c r="K230">
        <v>702</v>
      </c>
      <c r="L230">
        <v>6.382978723404255E-3</v>
      </c>
      <c r="M230">
        <v>3.2765957446808512E-2</v>
      </c>
      <c r="N230">
        <v>0</v>
      </c>
    </row>
    <row r="231" spans="1:15">
      <c r="A231">
        <v>46083</v>
      </c>
      <c r="B231" t="s">
        <v>44</v>
      </c>
      <c r="C231" t="s">
        <v>31</v>
      </c>
      <c r="D231" t="s">
        <v>25</v>
      </c>
      <c r="E231" t="s">
        <v>18</v>
      </c>
      <c r="F231" t="s">
        <v>19</v>
      </c>
      <c r="G231">
        <v>5162</v>
      </c>
      <c r="H231">
        <v>105</v>
      </c>
      <c r="I231">
        <v>206</v>
      </c>
      <c r="J231">
        <v>4</v>
      </c>
      <c r="K231">
        <v>2609</v>
      </c>
      <c r="L231">
        <v>3.9907012785741963E-2</v>
      </c>
      <c r="M231">
        <v>2.0340953118946146E-2</v>
      </c>
      <c r="N231">
        <v>1.9417475728155338E-2</v>
      </c>
      <c r="O231">
        <v>652.25</v>
      </c>
    </row>
    <row r="232" spans="1:15">
      <c r="A232">
        <v>46084</v>
      </c>
      <c r="B232" t="s">
        <v>44</v>
      </c>
      <c r="C232" t="s">
        <v>24</v>
      </c>
      <c r="D232" t="s">
        <v>25</v>
      </c>
      <c r="E232" t="s">
        <v>29</v>
      </c>
      <c r="F232" t="s">
        <v>22</v>
      </c>
      <c r="G232">
        <v>9233</v>
      </c>
      <c r="H232">
        <v>159</v>
      </c>
      <c r="I232">
        <v>101</v>
      </c>
      <c r="J232">
        <v>1</v>
      </c>
      <c r="K232">
        <v>1700</v>
      </c>
      <c r="L232">
        <v>1.0939023069424889E-2</v>
      </c>
      <c r="M232">
        <v>1.7220838297411459E-2</v>
      </c>
      <c r="N232">
        <v>9.9009900990099011E-3</v>
      </c>
      <c r="O232">
        <v>1700</v>
      </c>
    </row>
    <row r="233" spans="1:15">
      <c r="A233">
        <v>46084</v>
      </c>
      <c r="B233" t="s">
        <v>44</v>
      </c>
      <c r="C233" t="s">
        <v>23</v>
      </c>
      <c r="D233" t="s">
        <v>21</v>
      </c>
      <c r="E233" t="s">
        <v>18</v>
      </c>
      <c r="F233" t="s">
        <v>30</v>
      </c>
      <c r="G233">
        <v>1151</v>
      </c>
      <c r="H233">
        <v>129</v>
      </c>
      <c r="I233">
        <v>74</v>
      </c>
      <c r="J233">
        <v>26</v>
      </c>
      <c r="K233">
        <v>3374</v>
      </c>
      <c r="L233">
        <v>6.4291920069504779E-2</v>
      </c>
      <c r="M233">
        <v>0.11207645525629888</v>
      </c>
      <c r="N233">
        <v>0.35135135135135137</v>
      </c>
      <c r="O233">
        <v>129.76923076923077</v>
      </c>
    </row>
    <row r="234" spans="1:15">
      <c r="A234">
        <v>46084</v>
      </c>
      <c r="B234" t="s">
        <v>44</v>
      </c>
      <c r="C234" t="s">
        <v>33</v>
      </c>
      <c r="D234" t="s">
        <v>17</v>
      </c>
      <c r="E234" t="s">
        <v>27</v>
      </c>
      <c r="F234" t="s">
        <v>34</v>
      </c>
      <c r="G234">
        <v>1750</v>
      </c>
      <c r="H234">
        <v>87</v>
      </c>
      <c r="I234">
        <v>26</v>
      </c>
      <c r="J234">
        <v>1</v>
      </c>
      <c r="K234">
        <v>497</v>
      </c>
      <c r="L234">
        <v>1.4857142857142857E-2</v>
      </c>
      <c r="M234">
        <v>4.9714285714285711E-2</v>
      </c>
      <c r="N234">
        <v>3.8461538461538464E-2</v>
      </c>
      <c r="O234">
        <v>497</v>
      </c>
    </row>
    <row r="235" spans="1:15">
      <c r="A235">
        <v>46084</v>
      </c>
      <c r="B235" t="s">
        <v>44</v>
      </c>
      <c r="C235" t="s">
        <v>16</v>
      </c>
      <c r="D235" t="s">
        <v>17</v>
      </c>
      <c r="E235" t="s">
        <v>18</v>
      </c>
      <c r="F235" t="s">
        <v>19</v>
      </c>
      <c r="G235">
        <v>374</v>
      </c>
      <c r="H235">
        <v>61</v>
      </c>
      <c r="I235">
        <v>24</v>
      </c>
      <c r="J235">
        <v>2</v>
      </c>
      <c r="K235">
        <v>1125</v>
      </c>
      <c r="L235">
        <v>6.4171122994652413E-2</v>
      </c>
      <c r="M235">
        <v>0.16310160427807488</v>
      </c>
      <c r="N235">
        <v>8.3333333333333329E-2</v>
      </c>
      <c r="O235">
        <v>562.5</v>
      </c>
    </row>
    <row r="236" spans="1:15">
      <c r="A236">
        <v>46084</v>
      </c>
      <c r="B236" t="s">
        <v>44</v>
      </c>
      <c r="C236" t="s">
        <v>31</v>
      </c>
      <c r="D236" t="s">
        <v>25</v>
      </c>
      <c r="E236" t="s">
        <v>18</v>
      </c>
      <c r="F236" t="s">
        <v>28</v>
      </c>
      <c r="G236">
        <v>7167</v>
      </c>
      <c r="H236">
        <v>121</v>
      </c>
      <c r="I236">
        <v>197</v>
      </c>
      <c r="J236">
        <v>2</v>
      </c>
      <c r="K236">
        <v>2136</v>
      </c>
      <c r="L236">
        <v>2.7487093623552394E-2</v>
      </c>
      <c r="M236">
        <v>1.6882935677410352E-2</v>
      </c>
      <c r="N236">
        <v>1.015228426395939E-2</v>
      </c>
      <c r="O236">
        <v>1068</v>
      </c>
    </row>
    <row r="237" spans="1:15">
      <c r="A237">
        <v>46085</v>
      </c>
      <c r="B237" t="s">
        <v>44</v>
      </c>
      <c r="C237" t="s">
        <v>20</v>
      </c>
      <c r="D237" t="s">
        <v>25</v>
      </c>
      <c r="E237" t="s">
        <v>27</v>
      </c>
      <c r="F237" t="s">
        <v>34</v>
      </c>
      <c r="G237">
        <v>1653</v>
      </c>
      <c r="H237">
        <v>333</v>
      </c>
      <c r="I237">
        <v>153</v>
      </c>
      <c r="J237">
        <v>13</v>
      </c>
      <c r="K237">
        <v>1561</v>
      </c>
      <c r="L237">
        <v>9.2558983666061703E-2</v>
      </c>
      <c r="M237">
        <v>0.2014519056261343</v>
      </c>
      <c r="N237">
        <v>8.4967320261437912E-2</v>
      </c>
      <c r="O237">
        <v>120.07692307692308</v>
      </c>
    </row>
    <row r="238" spans="1:15">
      <c r="A238">
        <v>46085</v>
      </c>
      <c r="B238" t="s">
        <v>44</v>
      </c>
      <c r="C238" t="s">
        <v>23</v>
      </c>
      <c r="D238" t="s">
        <v>32</v>
      </c>
      <c r="E238" t="s">
        <v>29</v>
      </c>
      <c r="F238" t="s">
        <v>34</v>
      </c>
      <c r="G238">
        <v>1898</v>
      </c>
      <c r="H238">
        <v>235</v>
      </c>
      <c r="I238">
        <v>46</v>
      </c>
      <c r="J238">
        <v>4</v>
      </c>
      <c r="K238">
        <v>3729</v>
      </c>
      <c r="L238">
        <v>2.4236037934668071E-2</v>
      </c>
      <c r="M238">
        <v>0.1238145416227608</v>
      </c>
      <c r="N238">
        <v>8.6956521739130432E-2</v>
      </c>
      <c r="O238">
        <v>932.25</v>
      </c>
    </row>
    <row r="239" spans="1:15">
      <c r="A239">
        <v>46085</v>
      </c>
      <c r="B239" t="s">
        <v>44</v>
      </c>
      <c r="C239" t="s">
        <v>24</v>
      </c>
      <c r="D239" t="s">
        <v>17</v>
      </c>
      <c r="E239" t="s">
        <v>26</v>
      </c>
      <c r="F239" t="s">
        <v>30</v>
      </c>
      <c r="G239">
        <v>6207</v>
      </c>
      <c r="H239">
        <v>138</v>
      </c>
      <c r="I239">
        <v>124</v>
      </c>
      <c r="K239">
        <v>1093</v>
      </c>
      <c r="L239">
        <v>1.9977444820364103E-2</v>
      </c>
      <c r="M239">
        <v>2.2232962783953602E-2</v>
      </c>
    </row>
    <row r="240" spans="1:15">
      <c r="A240">
        <v>46085</v>
      </c>
      <c r="B240" t="s">
        <v>44</v>
      </c>
      <c r="C240" t="s">
        <v>33</v>
      </c>
      <c r="D240" t="s">
        <v>25</v>
      </c>
      <c r="E240" t="s">
        <v>26</v>
      </c>
      <c r="F240" t="s">
        <v>28</v>
      </c>
      <c r="G240">
        <v>2831</v>
      </c>
      <c r="H240">
        <v>96</v>
      </c>
      <c r="I240">
        <v>21</v>
      </c>
      <c r="J240">
        <v>0</v>
      </c>
      <c r="K240">
        <v>687</v>
      </c>
      <c r="L240">
        <v>7.4178735429176971E-3</v>
      </c>
      <c r="M240">
        <v>3.3910279053338044E-2</v>
      </c>
      <c r="N240">
        <v>0</v>
      </c>
    </row>
    <row r="241" spans="1:15">
      <c r="A241">
        <v>46085</v>
      </c>
      <c r="B241" t="s">
        <v>44</v>
      </c>
      <c r="C241" t="s">
        <v>31</v>
      </c>
      <c r="D241" t="s">
        <v>21</v>
      </c>
      <c r="E241" t="s">
        <v>18</v>
      </c>
      <c r="F241" t="s">
        <v>34</v>
      </c>
      <c r="G241">
        <v>6929</v>
      </c>
      <c r="H241">
        <v>190</v>
      </c>
      <c r="I241">
        <v>229</v>
      </c>
      <c r="J241">
        <v>3</v>
      </c>
      <c r="K241">
        <v>1266</v>
      </c>
      <c r="L241">
        <v>3.3049502092654059E-2</v>
      </c>
      <c r="M241">
        <v>2.7420984269014289E-2</v>
      </c>
      <c r="N241">
        <v>1.3100436681222707E-2</v>
      </c>
      <c r="O241">
        <v>422</v>
      </c>
    </row>
    <row r="242" spans="1:15">
      <c r="A242">
        <v>46086</v>
      </c>
      <c r="B242" t="s">
        <v>45</v>
      </c>
      <c r="C242" t="s">
        <v>16</v>
      </c>
      <c r="D242" t="s">
        <v>17</v>
      </c>
      <c r="E242" t="s">
        <v>29</v>
      </c>
      <c r="F242" t="s">
        <v>34</v>
      </c>
      <c r="G242">
        <v>852</v>
      </c>
      <c r="H242">
        <v>134</v>
      </c>
      <c r="I242">
        <v>41</v>
      </c>
      <c r="J242">
        <v>4</v>
      </c>
      <c r="K242">
        <v>1119</v>
      </c>
      <c r="L242">
        <v>4.8122065727699531E-2</v>
      </c>
      <c r="M242">
        <v>0.15727699530516431</v>
      </c>
      <c r="N242">
        <v>9.7560975609756101E-2</v>
      </c>
      <c r="O242">
        <v>279.75</v>
      </c>
    </row>
    <row r="243" spans="1:15">
      <c r="A243">
        <v>46086</v>
      </c>
      <c r="B243" t="s">
        <v>45</v>
      </c>
      <c r="C243" t="s">
        <v>23</v>
      </c>
      <c r="D243" t="s">
        <v>25</v>
      </c>
      <c r="E243" t="s">
        <v>18</v>
      </c>
      <c r="F243" t="s">
        <v>34</v>
      </c>
      <c r="G243">
        <v>773</v>
      </c>
      <c r="H243">
        <v>66</v>
      </c>
      <c r="I243">
        <v>47</v>
      </c>
      <c r="J243">
        <v>5</v>
      </c>
      <c r="K243">
        <v>2431</v>
      </c>
      <c r="L243">
        <v>6.0802069857697282E-2</v>
      </c>
      <c r="M243">
        <v>8.538163001293661E-2</v>
      </c>
      <c r="N243">
        <v>0.10638297872340426</v>
      </c>
      <c r="O243">
        <v>486.2</v>
      </c>
    </row>
    <row r="244" spans="1:15">
      <c r="A244">
        <v>46086</v>
      </c>
      <c r="B244" t="s">
        <v>45</v>
      </c>
      <c r="C244" t="s">
        <v>33</v>
      </c>
      <c r="D244" t="s">
        <v>25</v>
      </c>
      <c r="E244" t="s">
        <v>18</v>
      </c>
      <c r="F244" t="s">
        <v>34</v>
      </c>
      <c r="G244">
        <v>1158</v>
      </c>
      <c r="H244">
        <v>58</v>
      </c>
      <c r="I244">
        <v>8</v>
      </c>
      <c r="J244">
        <v>0</v>
      </c>
      <c r="K244">
        <v>635</v>
      </c>
      <c r="L244">
        <v>6.9084628670120895E-3</v>
      </c>
      <c r="M244">
        <v>5.0086355785837651E-2</v>
      </c>
      <c r="N244">
        <v>0</v>
      </c>
    </row>
    <row r="245" spans="1:15">
      <c r="A245">
        <v>46086</v>
      </c>
      <c r="B245" t="s">
        <v>45</v>
      </c>
      <c r="C245" t="s">
        <v>31</v>
      </c>
      <c r="D245" t="s">
        <v>17</v>
      </c>
      <c r="E245" t="s">
        <v>27</v>
      </c>
      <c r="F245" t="s">
        <v>34</v>
      </c>
      <c r="G245">
        <v>7618</v>
      </c>
      <c r="H245">
        <v>141</v>
      </c>
      <c r="I245">
        <v>303</v>
      </c>
      <c r="J245">
        <v>6</v>
      </c>
      <c r="K245">
        <v>1357</v>
      </c>
      <c r="L245">
        <v>3.9774218955106327E-2</v>
      </c>
      <c r="M245">
        <v>1.8508794959306903E-2</v>
      </c>
      <c r="N245">
        <v>1.9801980198019802E-2</v>
      </c>
      <c r="O245">
        <v>226.16666666666666</v>
      </c>
    </row>
    <row r="246" spans="1:15">
      <c r="A246">
        <v>46087</v>
      </c>
      <c r="B246" t="s">
        <v>45</v>
      </c>
      <c r="C246" t="s">
        <v>24</v>
      </c>
      <c r="D246" t="s">
        <v>25</v>
      </c>
      <c r="E246" t="s">
        <v>27</v>
      </c>
      <c r="F246" t="s">
        <v>19</v>
      </c>
      <c r="G246">
        <v>5886</v>
      </c>
      <c r="H246">
        <v>123</v>
      </c>
      <c r="I246">
        <v>113</v>
      </c>
      <c r="J246">
        <v>3</v>
      </c>
      <c r="K246">
        <v>1670</v>
      </c>
      <c r="L246">
        <v>1.9198097179748557E-2</v>
      </c>
      <c r="M246">
        <v>2.0897043832823651E-2</v>
      </c>
      <c r="N246">
        <v>2.6548672566371681E-2</v>
      </c>
      <c r="O246">
        <v>556.66666666666663</v>
      </c>
    </row>
    <row r="247" spans="1:15">
      <c r="A247">
        <v>46087</v>
      </c>
      <c r="B247" t="s">
        <v>45</v>
      </c>
      <c r="C247" t="s">
        <v>33</v>
      </c>
      <c r="D247" t="s">
        <v>35</v>
      </c>
      <c r="E247" t="s">
        <v>27</v>
      </c>
      <c r="F247" t="s">
        <v>30</v>
      </c>
      <c r="G247">
        <v>1527</v>
      </c>
      <c r="H247">
        <v>72</v>
      </c>
      <c r="I247">
        <v>8</v>
      </c>
      <c r="J247">
        <v>0</v>
      </c>
      <c r="K247">
        <v>894</v>
      </c>
      <c r="L247">
        <v>5.2390307793058286E-3</v>
      </c>
      <c r="M247">
        <v>4.7151277013752456E-2</v>
      </c>
      <c r="N247">
        <v>0</v>
      </c>
    </row>
    <row r="248" spans="1:15">
      <c r="A248">
        <v>46087</v>
      </c>
      <c r="B248" t="s">
        <v>45</v>
      </c>
      <c r="C248" t="s">
        <v>16</v>
      </c>
      <c r="D248" t="s">
        <v>32</v>
      </c>
      <c r="E248" t="s">
        <v>18</v>
      </c>
      <c r="F248" t="s">
        <v>28</v>
      </c>
      <c r="G248">
        <v>1181</v>
      </c>
      <c r="H248">
        <v>223</v>
      </c>
      <c r="I248">
        <v>27</v>
      </c>
      <c r="J248">
        <v>3</v>
      </c>
      <c r="K248">
        <v>580</v>
      </c>
      <c r="L248">
        <v>2.2861981371718881E-2</v>
      </c>
      <c r="M248">
        <v>0.18882303132938189</v>
      </c>
      <c r="N248">
        <v>0.1111111111111111</v>
      </c>
      <c r="O248">
        <v>193.33333333333334</v>
      </c>
    </row>
    <row r="249" spans="1:15">
      <c r="A249">
        <v>46087</v>
      </c>
      <c r="B249" t="s">
        <v>45</v>
      </c>
      <c r="C249" t="s">
        <v>31</v>
      </c>
      <c r="D249" t="s">
        <v>25</v>
      </c>
      <c r="E249" t="s">
        <v>18</v>
      </c>
      <c r="F249" t="s">
        <v>22</v>
      </c>
      <c r="G249">
        <v>10247</v>
      </c>
      <c r="H249">
        <v>153</v>
      </c>
      <c r="I249">
        <v>240</v>
      </c>
      <c r="J249">
        <v>3</v>
      </c>
      <c r="K249">
        <v>1661</v>
      </c>
      <c r="L249">
        <v>2.3421489216356006E-2</v>
      </c>
      <c r="M249">
        <v>1.4931199375426954E-2</v>
      </c>
      <c r="N249">
        <v>1.2500000000000001E-2</v>
      </c>
      <c r="O249">
        <v>553.66666666666663</v>
      </c>
    </row>
    <row r="250" spans="1:15">
      <c r="A250">
        <v>46087</v>
      </c>
      <c r="B250" t="s">
        <v>45</v>
      </c>
      <c r="C250" t="s">
        <v>23</v>
      </c>
      <c r="D250" t="s">
        <v>21</v>
      </c>
      <c r="E250" t="s">
        <v>29</v>
      </c>
      <c r="F250" t="s">
        <v>28</v>
      </c>
      <c r="G250">
        <v>982</v>
      </c>
      <c r="H250">
        <v>85</v>
      </c>
      <c r="I250">
        <v>38</v>
      </c>
      <c r="J250">
        <v>7</v>
      </c>
      <c r="K250">
        <v>2989</v>
      </c>
      <c r="L250">
        <v>3.8696537678207736E-2</v>
      </c>
      <c r="M250">
        <v>8.6558044806517312E-2</v>
      </c>
      <c r="N250">
        <v>0.18421052631578946</v>
      </c>
      <c r="O250">
        <v>427</v>
      </c>
    </row>
    <row r="251" spans="1:15">
      <c r="A251">
        <v>46088</v>
      </c>
      <c r="B251" t="s">
        <v>45</v>
      </c>
      <c r="C251" t="s">
        <v>31</v>
      </c>
      <c r="D251" t="s">
        <v>17</v>
      </c>
      <c r="E251" t="s">
        <v>27</v>
      </c>
      <c r="F251" t="s">
        <v>30</v>
      </c>
      <c r="G251">
        <v>4280</v>
      </c>
      <c r="H251">
        <v>68</v>
      </c>
      <c r="I251">
        <v>136</v>
      </c>
      <c r="J251">
        <v>3</v>
      </c>
      <c r="K251">
        <v>2482</v>
      </c>
      <c r="L251">
        <v>3.1775700934579439E-2</v>
      </c>
      <c r="M251">
        <v>1.5887850467289719E-2</v>
      </c>
      <c r="N251">
        <v>2.2058823529411766E-2</v>
      </c>
      <c r="O251">
        <v>827.33333333333337</v>
      </c>
    </row>
    <row r="252" spans="1:15">
      <c r="A252">
        <v>46088</v>
      </c>
      <c r="B252" t="s">
        <v>45</v>
      </c>
      <c r="C252" t="s">
        <v>16</v>
      </c>
      <c r="D252" t="s">
        <v>35</v>
      </c>
      <c r="E252" t="s">
        <v>18</v>
      </c>
      <c r="F252" t="s">
        <v>34</v>
      </c>
      <c r="G252">
        <v>951</v>
      </c>
      <c r="H252">
        <v>223</v>
      </c>
      <c r="I252">
        <v>27</v>
      </c>
      <c r="J252">
        <v>1</v>
      </c>
      <c r="K252">
        <v>1355</v>
      </c>
      <c r="L252">
        <v>2.8391167192429023E-2</v>
      </c>
      <c r="M252">
        <v>0.23449001051524712</v>
      </c>
      <c r="N252">
        <v>3.7037037037037035E-2</v>
      </c>
      <c r="O252">
        <v>1355</v>
      </c>
    </row>
    <row r="253" spans="1:15">
      <c r="A253">
        <v>46088</v>
      </c>
      <c r="B253" t="s">
        <v>45</v>
      </c>
      <c r="C253" t="s">
        <v>24</v>
      </c>
      <c r="D253" t="s">
        <v>25</v>
      </c>
      <c r="E253" t="s">
        <v>18</v>
      </c>
      <c r="F253" t="s">
        <v>30</v>
      </c>
      <c r="G253">
        <v>2498</v>
      </c>
      <c r="H253">
        <v>75</v>
      </c>
      <c r="I253">
        <v>56</v>
      </c>
      <c r="J253">
        <v>1</v>
      </c>
      <c r="K253">
        <v>1863</v>
      </c>
      <c r="L253">
        <v>2.2417934347477981E-2</v>
      </c>
      <c r="M253">
        <v>3.0024019215372299E-2</v>
      </c>
      <c r="N253">
        <v>1.7857142857142856E-2</v>
      </c>
      <c r="O253">
        <v>1863</v>
      </c>
    </row>
    <row r="254" spans="1:15">
      <c r="A254">
        <v>46088</v>
      </c>
      <c r="B254" t="s">
        <v>45</v>
      </c>
      <c r="C254" t="s">
        <v>23</v>
      </c>
      <c r="D254" t="s">
        <v>17</v>
      </c>
      <c r="E254" t="s">
        <v>18</v>
      </c>
      <c r="F254" t="s">
        <v>22</v>
      </c>
      <c r="G254">
        <v>1076</v>
      </c>
      <c r="H254">
        <v>56</v>
      </c>
      <c r="I254">
        <v>60</v>
      </c>
      <c r="J254">
        <v>8</v>
      </c>
      <c r="K254">
        <v>3379</v>
      </c>
      <c r="L254">
        <v>5.5762081784386616E-2</v>
      </c>
      <c r="M254">
        <v>5.204460966542751E-2</v>
      </c>
      <c r="N254">
        <v>0.13333333333333333</v>
      </c>
      <c r="O254">
        <v>422.375</v>
      </c>
    </row>
    <row r="255" spans="1:15">
      <c r="A255">
        <v>46088</v>
      </c>
      <c r="B255" t="s">
        <v>45</v>
      </c>
      <c r="C255" t="s">
        <v>33</v>
      </c>
      <c r="D255" t="s">
        <v>25</v>
      </c>
      <c r="E255" t="s">
        <v>29</v>
      </c>
      <c r="F255" t="s">
        <v>19</v>
      </c>
      <c r="G255">
        <v>1987</v>
      </c>
      <c r="H255">
        <v>84</v>
      </c>
      <c r="I255">
        <v>19</v>
      </c>
      <c r="J255">
        <v>0</v>
      </c>
      <c r="K255">
        <v>404</v>
      </c>
      <c r="L255">
        <v>9.5621540010065419E-3</v>
      </c>
      <c r="M255">
        <v>4.2274786109713136E-2</v>
      </c>
      <c r="N255">
        <v>0</v>
      </c>
    </row>
    <row r="256" spans="1:15">
      <c r="A256">
        <v>46089</v>
      </c>
      <c r="B256" t="s">
        <v>45</v>
      </c>
      <c r="C256" t="s">
        <v>20</v>
      </c>
      <c r="D256" t="s">
        <v>25</v>
      </c>
      <c r="E256" t="s">
        <v>18</v>
      </c>
      <c r="F256" t="s">
        <v>19</v>
      </c>
      <c r="G256">
        <v>952</v>
      </c>
      <c r="H256">
        <v>137</v>
      </c>
      <c r="I256">
        <v>43</v>
      </c>
      <c r="J256">
        <v>2</v>
      </c>
      <c r="K256">
        <v>1450</v>
      </c>
      <c r="L256">
        <v>4.5168067226890755E-2</v>
      </c>
      <c r="M256">
        <v>0.14390756302521007</v>
      </c>
      <c r="N256">
        <v>4.6511627906976744E-2</v>
      </c>
      <c r="O256">
        <v>725</v>
      </c>
    </row>
    <row r="257" spans="1:15">
      <c r="A257">
        <v>46089</v>
      </c>
      <c r="B257" t="s">
        <v>45</v>
      </c>
      <c r="C257" t="s">
        <v>31</v>
      </c>
      <c r="D257" t="s">
        <v>17</v>
      </c>
      <c r="E257" t="s">
        <v>18</v>
      </c>
      <c r="F257" t="s">
        <v>34</v>
      </c>
      <c r="G257">
        <v>7111</v>
      </c>
      <c r="H257">
        <v>196</v>
      </c>
      <c r="I257">
        <v>373</v>
      </c>
      <c r="J257">
        <v>9</v>
      </c>
      <c r="K257">
        <v>1758</v>
      </c>
      <c r="L257">
        <v>5.2453944592884265E-2</v>
      </c>
      <c r="M257">
        <v>2.7562930670791731E-2</v>
      </c>
      <c r="N257">
        <v>2.4128686327077747E-2</v>
      </c>
      <c r="O257">
        <v>195.33333333333334</v>
      </c>
    </row>
    <row r="258" spans="1:15">
      <c r="A258">
        <v>46089</v>
      </c>
      <c r="B258" t="s">
        <v>45</v>
      </c>
      <c r="C258" t="s">
        <v>33</v>
      </c>
      <c r="D258" t="s">
        <v>35</v>
      </c>
      <c r="E258" t="s">
        <v>18</v>
      </c>
      <c r="F258" t="s">
        <v>30</v>
      </c>
      <c r="G258">
        <v>3452</v>
      </c>
      <c r="H258">
        <v>109</v>
      </c>
      <c r="I258">
        <v>28</v>
      </c>
      <c r="J258">
        <v>1</v>
      </c>
      <c r="K258">
        <v>921</v>
      </c>
      <c r="L258">
        <v>8.1112398609501733E-3</v>
      </c>
      <c r="M258">
        <v>3.1575898030127461E-2</v>
      </c>
      <c r="N258">
        <v>3.5714285714285712E-2</v>
      </c>
      <c r="O258">
        <v>921</v>
      </c>
    </row>
    <row r="259" spans="1:15">
      <c r="A259">
        <v>46090</v>
      </c>
      <c r="B259" t="s">
        <v>45</v>
      </c>
      <c r="C259" t="s">
        <v>36</v>
      </c>
      <c r="D259" t="s">
        <v>25</v>
      </c>
      <c r="E259" t="s">
        <v>18</v>
      </c>
      <c r="F259" t="s">
        <v>28</v>
      </c>
      <c r="G259">
        <v>110</v>
      </c>
      <c r="H259">
        <v>43</v>
      </c>
      <c r="I259">
        <v>34</v>
      </c>
      <c r="J259">
        <v>12</v>
      </c>
      <c r="K259">
        <v>5115</v>
      </c>
      <c r="L259">
        <v>0.30909090909090908</v>
      </c>
      <c r="M259">
        <v>0.39090909090909093</v>
      </c>
      <c r="N259">
        <v>0.35294117647058826</v>
      </c>
      <c r="O259">
        <v>426.25</v>
      </c>
    </row>
    <row r="260" spans="1:15">
      <c r="A260">
        <v>46090</v>
      </c>
      <c r="B260" t="s">
        <v>45</v>
      </c>
      <c r="C260" t="s">
        <v>33</v>
      </c>
      <c r="D260" t="s">
        <v>25</v>
      </c>
      <c r="E260" t="s">
        <v>18</v>
      </c>
      <c r="F260" t="s">
        <v>30</v>
      </c>
      <c r="G260">
        <v>3334</v>
      </c>
      <c r="H260">
        <v>123</v>
      </c>
      <c r="I260">
        <v>23</v>
      </c>
      <c r="J260">
        <v>0</v>
      </c>
      <c r="K260">
        <v>421</v>
      </c>
      <c r="L260">
        <v>6.8986202759448107E-3</v>
      </c>
      <c r="M260">
        <v>3.6892621475704858E-2</v>
      </c>
      <c r="N260">
        <v>0</v>
      </c>
    </row>
    <row r="261" spans="1:15">
      <c r="A261">
        <v>46090</v>
      </c>
      <c r="B261" t="s">
        <v>45</v>
      </c>
      <c r="C261" t="s">
        <v>20</v>
      </c>
      <c r="D261" t="s">
        <v>25</v>
      </c>
      <c r="E261" t="s">
        <v>18</v>
      </c>
      <c r="F261" t="s">
        <v>34</v>
      </c>
      <c r="G261">
        <v>524</v>
      </c>
      <c r="H261">
        <v>140</v>
      </c>
      <c r="I261">
        <v>31</v>
      </c>
      <c r="J261">
        <v>1</v>
      </c>
      <c r="K261">
        <v>1334</v>
      </c>
      <c r="L261">
        <v>5.9160305343511452E-2</v>
      </c>
      <c r="M261">
        <v>0.26717557251908397</v>
      </c>
      <c r="N261">
        <v>3.2258064516129031E-2</v>
      </c>
      <c r="O261">
        <v>1334</v>
      </c>
    </row>
    <row r="262" spans="1:15">
      <c r="A262">
        <v>46090</v>
      </c>
      <c r="B262" t="s">
        <v>45</v>
      </c>
      <c r="C262" t="s">
        <v>31</v>
      </c>
      <c r="D262" t="s">
        <v>35</v>
      </c>
      <c r="E262" t="s">
        <v>18</v>
      </c>
      <c r="F262" t="s">
        <v>19</v>
      </c>
      <c r="G262">
        <v>8023</v>
      </c>
      <c r="H262">
        <v>204</v>
      </c>
      <c r="I262">
        <v>183</v>
      </c>
      <c r="J262">
        <v>2</v>
      </c>
      <c r="K262">
        <v>1476</v>
      </c>
      <c r="L262">
        <v>2.2809422909136234E-2</v>
      </c>
      <c r="M262">
        <v>2.5426897669201046E-2</v>
      </c>
      <c r="N262">
        <v>1.092896174863388E-2</v>
      </c>
      <c r="O262">
        <v>738</v>
      </c>
    </row>
    <row r="263" spans="1:15">
      <c r="A263">
        <v>46091</v>
      </c>
      <c r="B263" t="s">
        <v>45</v>
      </c>
      <c r="C263" t="s">
        <v>24</v>
      </c>
      <c r="D263" t="s">
        <v>21</v>
      </c>
      <c r="E263" t="s">
        <v>26</v>
      </c>
      <c r="F263" t="s">
        <v>30</v>
      </c>
      <c r="G263">
        <v>8861</v>
      </c>
      <c r="H263">
        <v>254</v>
      </c>
      <c r="I263">
        <v>255</v>
      </c>
      <c r="J263">
        <v>6</v>
      </c>
      <c r="K263">
        <v>1051</v>
      </c>
      <c r="L263">
        <v>2.8777790317119963E-2</v>
      </c>
      <c r="M263">
        <v>2.8664936237444982E-2</v>
      </c>
      <c r="N263">
        <v>2.3529411764705882E-2</v>
      </c>
      <c r="O263">
        <v>175.16666666666666</v>
      </c>
    </row>
    <row r="264" spans="1:15">
      <c r="A264">
        <v>46091</v>
      </c>
      <c r="B264" t="s">
        <v>45</v>
      </c>
      <c r="C264" t="s">
        <v>23</v>
      </c>
      <c r="D264" t="s">
        <v>35</v>
      </c>
      <c r="E264" t="s">
        <v>18</v>
      </c>
      <c r="F264" t="s">
        <v>30</v>
      </c>
      <c r="G264">
        <v>907</v>
      </c>
      <c r="H264">
        <v>92</v>
      </c>
      <c r="I264">
        <v>20</v>
      </c>
      <c r="J264">
        <v>3</v>
      </c>
      <c r="K264">
        <v>3602</v>
      </c>
      <c r="L264">
        <v>2.2050716648291068E-2</v>
      </c>
      <c r="M264">
        <v>0.10143329658213891</v>
      </c>
      <c r="N264">
        <v>0.15</v>
      </c>
      <c r="O264">
        <v>1200.6666666666667</v>
      </c>
    </row>
    <row r="265" spans="1:15">
      <c r="A265">
        <v>46091</v>
      </c>
      <c r="B265" t="s">
        <v>45</v>
      </c>
      <c r="C265" t="s">
        <v>16</v>
      </c>
      <c r="D265" t="s">
        <v>17</v>
      </c>
      <c r="E265" t="s">
        <v>27</v>
      </c>
      <c r="F265" t="s">
        <v>30</v>
      </c>
      <c r="G265">
        <v>978</v>
      </c>
      <c r="H265">
        <v>212</v>
      </c>
      <c r="I265">
        <v>44</v>
      </c>
      <c r="J265">
        <v>5</v>
      </c>
      <c r="K265">
        <v>1367</v>
      </c>
      <c r="L265">
        <v>4.4989775051124746E-2</v>
      </c>
      <c r="M265">
        <v>0.21676891615541921</v>
      </c>
      <c r="N265">
        <v>0.11363636363636363</v>
      </c>
      <c r="O265">
        <v>273.39999999999998</v>
      </c>
    </row>
    <row r="266" spans="1:15">
      <c r="A266">
        <v>46091</v>
      </c>
      <c r="B266" t="s">
        <v>45</v>
      </c>
      <c r="C266" t="s">
        <v>31</v>
      </c>
      <c r="D266" t="s">
        <v>17</v>
      </c>
      <c r="E266" t="s">
        <v>26</v>
      </c>
      <c r="F266" t="s">
        <v>34</v>
      </c>
      <c r="G266">
        <v>3093</v>
      </c>
      <c r="H266">
        <v>59</v>
      </c>
      <c r="I266">
        <v>174</v>
      </c>
      <c r="J266">
        <v>2</v>
      </c>
      <c r="K266">
        <v>1722</v>
      </c>
      <c r="L266">
        <v>5.6256062075654707E-2</v>
      </c>
      <c r="M266">
        <v>1.9075331393469123E-2</v>
      </c>
      <c r="N266">
        <v>1.1494252873563218E-2</v>
      </c>
      <c r="O266">
        <v>861</v>
      </c>
    </row>
    <row r="267" spans="1:15">
      <c r="A267">
        <v>46091</v>
      </c>
      <c r="B267" t="s">
        <v>45</v>
      </c>
      <c r="C267" t="s">
        <v>33</v>
      </c>
      <c r="D267" t="s">
        <v>25</v>
      </c>
      <c r="E267" t="s">
        <v>18</v>
      </c>
      <c r="F267" t="s">
        <v>19</v>
      </c>
      <c r="G267">
        <v>1881</v>
      </c>
      <c r="H267">
        <v>70</v>
      </c>
      <c r="I267">
        <v>17</v>
      </c>
      <c r="J267">
        <v>0</v>
      </c>
      <c r="L267">
        <v>9.0377458798511431E-3</v>
      </c>
      <c r="M267">
        <v>3.7214247740563533E-2</v>
      </c>
      <c r="N267">
        <v>0</v>
      </c>
    </row>
    <row r="268" spans="1:15">
      <c r="A268">
        <v>46092</v>
      </c>
      <c r="B268" t="s">
        <v>45</v>
      </c>
      <c r="C268" t="s">
        <v>23</v>
      </c>
      <c r="D268" t="s">
        <v>21</v>
      </c>
      <c r="E268" t="s">
        <v>27</v>
      </c>
      <c r="F268" t="s">
        <v>34</v>
      </c>
      <c r="G268">
        <v>1401</v>
      </c>
      <c r="H268">
        <v>140</v>
      </c>
      <c r="I268">
        <v>60</v>
      </c>
      <c r="J268">
        <v>17</v>
      </c>
      <c r="K268">
        <v>2276</v>
      </c>
      <c r="L268">
        <v>4.2826552462526764E-2</v>
      </c>
      <c r="M268">
        <v>9.9928622412562451E-2</v>
      </c>
      <c r="N268">
        <v>0.28333333333333333</v>
      </c>
      <c r="O268">
        <v>133.88235294117646</v>
      </c>
    </row>
    <row r="269" spans="1:15">
      <c r="A269">
        <v>46092</v>
      </c>
      <c r="B269" t="s">
        <v>45</v>
      </c>
      <c r="C269" t="s">
        <v>16</v>
      </c>
      <c r="D269" t="s">
        <v>25</v>
      </c>
      <c r="E269" t="s">
        <v>26</v>
      </c>
      <c r="F269" t="s">
        <v>30</v>
      </c>
      <c r="G269">
        <v>906</v>
      </c>
      <c r="H269">
        <v>137</v>
      </c>
      <c r="I269">
        <v>56</v>
      </c>
      <c r="J269">
        <v>6</v>
      </c>
      <c r="K269">
        <v>830</v>
      </c>
      <c r="L269">
        <v>6.1810154525386317E-2</v>
      </c>
      <c r="M269">
        <v>0.15121412803532008</v>
      </c>
      <c r="N269">
        <v>0.10714285714285714</v>
      </c>
      <c r="O269">
        <v>138.33333333333334</v>
      </c>
    </row>
    <row r="270" spans="1:15">
      <c r="A270">
        <v>46092</v>
      </c>
      <c r="B270" t="s">
        <v>45</v>
      </c>
      <c r="C270" t="s">
        <v>20</v>
      </c>
      <c r="D270" t="s">
        <v>35</v>
      </c>
      <c r="E270" t="s">
        <v>18</v>
      </c>
      <c r="F270" t="s">
        <v>34</v>
      </c>
      <c r="G270">
        <v>879</v>
      </c>
      <c r="H270">
        <v>200</v>
      </c>
      <c r="I270">
        <v>56</v>
      </c>
      <c r="J270">
        <v>2</v>
      </c>
      <c r="K270">
        <v>968</v>
      </c>
      <c r="L270">
        <v>6.3708759954493738E-2</v>
      </c>
      <c r="M270">
        <v>0.22753128555176336</v>
      </c>
      <c r="N270">
        <v>3.5714285714285712E-2</v>
      </c>
      <c r="O270">
        <v>484</v>
      </c>
    </row>
    <row r="271" spans="1:15">
      <c r="A271">
        <v>46092</v>
      </c>
      <c r="B271" t="s">
        <v>45</v>
      </c>
      <c r="C271" t="s">
        <v>24</v>
      </c>
      <c r="D271" t="s">
        <v>35</v>
      </c>
      <c r="E271" t="s">
        <v>18</v>
      </c>
      <c r="F271" t="s">
        <v>30</v>
      </c>
      <c r="G271">
        <v>3535</v>
      </c>
      <c r="H271">
        <v>101</v>
      </c>
      <c r="I271">
        <v>57</v>
      </c>
      <c r="J271">
        <v>0</v>
      </c>
      <c r="K271">
        <v>1639</v>
      </c>
      <c r="L271">
        <v>1.6124469589816125E-2</v>
      </c>
      <c r="M271">
        <v>2.8571428571428571E-2</v>
      </c>
      <c r="N271">
        <v>0</v>
      </c>
    </row>
    <row r="272" spans="1:15">
      <c r="A272">
        <v>46093</v>
      </c>
      <c r="B272" t="s">
        <v>46</v>
      </c>
      <c r="C272" t="s">
        <v>31</v>
      </c>
      <c r="D272" t="s">
        <v>25</v>
      </c>
      <c r="E272" t="s">
        <v>26</v>
      </c>
      <c r="F272" t="s">
        <v>22</v>
      </c>
      <c r="G272">
        <v>8626</v>
      </c>
      <c r="H272">
        <v>110</v>
      </c>
      <c r="I272">
        <v>201</v>
      </c>
      <c r="J272">
        <v>3</v>
      </c>
      <c r="K272">
        <v>1796</v>
      </c>
      <c r="L272">
        <v>2.3301646185949456E-2</v>
      </c>
      <c r="M272">
        <v>1.2752144678877812E-2</v>
      </c>
      <c r="N272">
        <v>1.4925373134328358E-2</v>
      </c>
      <c r="O272">
        <v>598.66666666666663</v>
      </c>
    </row>
    <row r="273" spans="1:15">
      <c r="A273">
        <v>46093</v>
      </c>
      <c r="B273" t="s">
        <v>46</v>
      </c>
      <c r="C273" t="s">
        <v>16</v>
      </c>
      <c r="D273" t="s">
        <v>25</v>
      </c>
      <c r="E273" t="s">
        <v>29</v>
      </c>
      <c r="F273" t="s">
        <v>30</v>
      </c>
      <c r="G273">
        <v>650</v>
      </c>
      <c r="H273">
        <v>82</v>
      </c>
      <c r="I273">
        <v>19</v>
      </c>
      <c r="J273">
        <v>1</v>
      </c>
      <c r="K273">
        <v>1013</v>
      </c>
      <c r="L273">
        <v>2.923076923076923E-2</v>
      </c>
      <c r="M273">
        <v>0.12615384615384614</v>
      </c>
      <c r="N273">
        <v>5.2631578947368418E-2</v>
      </c>
      <c r="O273">
        <v>1013</v>
      </c>
    </row>
    <row r="274" spans="1:15">
      <c r="A274">
        <v>46093</v>
      </c>
      <c r="B274" t="s">
        <v>46</v>
      </c>
      <c r="C274" t="s">
        <v>23</v>
      </c>
      <c r="D274" t="s">
        <v>21</v>
      </c>
      <c r="E274" t="s">
        <v>18</v>
      </c>
      <c r="F274" t="s">
        <v>19</v>
      </c>
      <c r="G274">
        <v>2081</v>
      </c>
      <c r="H274">
        <v>269</v>
      </c>
      <c r="I274">
        <v>111</v>
      </c>
      <c r="J274">
        <v>27</v>
      </c>
      <c r="K274">
        <v>1934</v>
      </c>
      <c r="L274">
        <v>5.3339740509370494E-2</v>
      </c>
      <c r="M274">
        <v>0.1292647765497357</v>
      </c>
      <c r="N274">
        <v>0.24324324324324326</v>
      </c>
      <c r="O274">
        <v>71.629629629629633</v>
      </c>
    </row>
    <row r="275" spans="1:15">
      <c r="A275">
        <v>46094</v>
      </c>
      <c r="B275" t="s">
        <v>46</v>
      </c>
      <c r="C275" t="s">
        <v>23</v>
      </c>
      <c r="D275" t="s">
        <v>21</v>
      </c>
      <c r="E275" t="s">
        <v>18</v>
      </c>
      <c r="F275" t="s">
        <v>19</v>
      </c>
      <c r="G275">
        <v>925</v>
      </c>
      <c r="H275">
        <v>74</v>
      </c>
      <c r="I275">
        <v>57</v>
      </c>
      <c r="J275">
        <v>15</v>
      </c>
      <c r="K275">
        <v>3068</v>
      </c>
      <c r="L275">
        <v>6.1621621621621624E-2</v>
      </c>
      <c r="M275">
        <v>0.08</v>
      </c>
      <c r="N275">
        <v>0.26315789473684209</v>
      </c>
      <c r="O275">
        <v>204.53333333333333</v>
      </c>
    </row>
    <row r="276" spans="1:15">
      <c r="A276">
        <v>46094</v>
      </c>
      <c r="B276" t="s">
        <v>46</v>
      </c>
      <c r="C276" t="s">
        <v>36</v>
      </c>
      <c r="D276" t="s">
        <v>17</v>
      </c>
      <c r="E276" t="s">
        <v>26</v>
      </c>
      <c r="F276" t="s">
        <v>34</v>
      </c>
      <c r="G276">
        <v>80</v>
      </c>
      <c r="H276">
        <v>55</v>
      </c>
      <c r="I276">
        <v>36</v>
      </c>
      <c r="J276">
        <v>20</v>
      </c>
      <c r="K276">
        <v>5897</v>
      </c>
      <c r="L276">
        <v>0.45</v>
      </c>
      <c r="M276">
        <v>0.6875</v>
      </c>
      <c r="N276">
        <v>0.55555555555555558</v>
      </c>
      <c r="O276">
        <v>294.85000000000002</v>
      </c>
    </row>
    <row r="277" spans="1:15">
      <c r="A277">
        <v>46094</v>
      </c>
      <c r="B277" t="s">
        <v>46</v>
      </c>
      <c r="C277" t="s">
        <v>20</v>
      </c>
      <c r="D277" t="s">
        <v>21</v>
      </c>
      <c r="E277" t="s">
        <v>18</v>
      </c>
      <c r="F277" t="s">
        <v>28</v>
      </c>
      <c r="G277">
        <v>617</v>
      </c>
      <c r="H277">
        <v>124</v>
      </c>
      <c r="I277">
        <v>44</v>
      </c>
      <c r="J277">
        <v>4</v>
      </c>
      <c r="K277">
        <v>784</v>
      </c>
      <c r="L277">
        <v>7.1312803889789306E-2</v>
      </c>
      <c r="M277">
        <v>0.20097244732576985</v>
      </c>
      <c r="N277">
        <v>9.0909090909090912E-2</v>
      </c>
      <c r="O277">
        <v>196</v>
      </c>
    </row>
    <row r="278" spans="1:15">
      <c r="A278">
        <v>46094</v>
      </c>
      <c r="B278" t="s">
        <v>46</v>
      </c>
      <c r="C278" t="s">
        <v>31</v>
      </c>
      <c r="D278" t="s">
        <v>17</v>
      </c>
      <c r="E278" t="s">
        <v>27</v>
      </c>
      <c r="F278" t="s">
        <v>19</v>
      </c>
      <c r="G278">
        <v>6448</v>
      </c>
      <c r="H278">
        <v>99</v>
      </c>
      <c r="I278">
        <v>326</v>
      </c>
      <c r="J278">
        <v>8</v>
      </c>
      <c r="K278">
        <v>1064</v>
      </c>
      <c r="L278">
        <v>5.0558312655086847E-2</v>
      </c>
      <c r="M278">
        <v>1.5353598014888337E-2</v>
      </c>
      <c r="N278">
        <v>2.4539877300613498E-2</v>
      </c>
      <c r="O278">
        <v>133</v>
      </c>
    </row>
    <row r="279" spans="1:15">
      <c r="A279">
        <v>46095</v>
      </c>
      <c r="B279" t="s">
        <v>46</v>
      </c>
      <c r="C279" t="s">
        <v>20</v>
      </c>
      <c r="D279" t="s">
        <v>35</v>
      </c>
      <c r="E279" t="s">
        <v>27</v>
      </c>
      <c r="F279" t="s">
        <v>30</v>
      </c>
      <c r="G279">
        <v>1060</v>
      </c>
      <c r="H279">
        <v>198</v>
      </c>
      <c r="I279">
        <v>59</v>
      </c>
      <c r="J279">
        <v>4</v>
      </c>
      <c r="K279">
        <v>1240</v>
      </c>
      <c r="L279">
        <v>5.5660377358490568E-2</v>
      </c>
      <c r="M279">
        <v>0.18679245283018867</v>
      </c>
      <c r="N279">
        <v>6.7796610169491525E-2</v>
      </c>
      <c r="O279">
        <v>310</v>
      </c>
    </row>
    <row r="280" spans="1:15">
      <c r="A280">
        <v>46095</v>
      </c>
      <c r="B280" t="s">
        <v>46</v>
      </c>
      <c r="C280" t="s">
        <v>33</v>
      </c>
      <c r="D280" t="s">
        <v>25</v>
      </c>
      <c r="E280" t="s">
        <v>27</v>
      </c>
      <c r="F280" t="s">
        <v>34</v>
      </c>
      <c r="G280">
        <v>2218</v>
      </c>
      <c r="H280">
        <v>80</v>
      </c>
      <c r="I280">
        <v>20</v>
      </c>
      <c r="J280">
        <v>0</v>
      </c>
      <c r="K280">
        <v>732</v>
      </c>
      <c r="L280">
        <v>9.017132551848512E-3</v>
      </c>
      <c r="M280">
        <v>3.6068530207394048E-2</v>
      </c>
      <c r="N280">
        <v>0</v>
      </c>
    </row>
    <row r="281" spans="1:15">
      <c r="A281">
        <v>46095</v>
      </c>
      <c r="B281" t="s">
        <v>46</v>
      </c>
      <c r="C281" t="s">
        <v>24</v>
      </c>
      <c r="D281" t="s">
        <v>17</v>
      </c>
      <c r="E281" t="s">
        <v>18</v>
      </c>
      <c r="F281" t="s">
        <v>30</v>
      </c>
      <c r="G281">
        <v>2741</v>
      </c>
      <c r="H281">
        <v>92</v>
      </c>
      <c r="I281">
        <v>57</v>
      </c>
      <c r="J281">
        <v>2</v>
      </c>
      <c r="K281">
        <v>792</v>
      </c>
      <c r="L281">
        <v>2.0795330171470266E-2</v>
      </c>
      <c r="M281">
        <v>3.3564392557460777E-2</v>
      </c>
      <c r="N281">
        <v>3.5087719298245612E-2</v>
      </c>
      <c r="O281">
        <v>396</v>
      </c>
    </row>
    <row r="282" spans="1:15">
      <c r="A282">
        <v>46095</v>
      </c>
      <c r="B282" t="s">
        <v>46</v>
      </c>
      <c r="C282" t="s">
        <v>23</v>
      </c>
      <c r="D282" t="s">
        <v>25</v>
      </c>
      <c r="E282" t="s">
        <v>26</v>
      </c>
      <c r="F282" t="s">
        <v>19</v>
      </c>
      <c r="G282">
        <v>2158</v>
      </c>
      <c r="H282">
        <v>225</v>
      </c>
      <c r="I282">
        <v>127</v>
      </c>
      <c r="J282">
        <v>19</v>
      </c>
      <c r="K282">
        <v>2498</v>
      </c>
      <c r="L282">
        <v>5.8850787766450419E-2</v>
      </c>
      <c r="M282">
        <v>0.10426320667284522</v>
      </c>
      <c r="N282">
        <v>0.14960629921259844</v>
      </c>
      <c r="O282">
        <v>131.47368421052633</v>
      </c>
    </row>
    <row r="283" spans="1:15">
      <c r="A283">
        <v>46096</v>
      </c>
      <c r="B283" t="s">
        <v>46</v>
      </c>
      <c r="C283" t="s">
        <v>20</v>
      </c>
      <c r="D283" t="s">
        <v>25</v>
      </c>
      <c r="E283" t="s">
        <v>27</v>
      </c>
      <c r="F283" t="s">
        <v>22</v>
      </c>
      <c r="G283">
        <v>1349</v>
      </c>
      <c r="H283">
        <v>230</v>
      </c>
      <c r="I283">
        <v>46</v>
      </c>
      <c r="J283">
        <v>2</v>
      </c>
      <c r="K283">
        <v>943</v>
      </c>
      <c r="L283">
        <v>3.4099332839140101E-2</v>
      </c>
      <c r="M283">
        <v>0.17049666419570053</v>
      </c>
      <c r="N283">
        <v>4.3478260869565216E-2</v>
      </c>
      <c r="O283">
        <v>471.5</v>
      </c>
    </row>
    <row r="284" spans="1:15">
      <c r="A284">
        <v>46096</v>
      </c>
      <c r="B284" t="s">
        <v>46</v>
      </c>
      <c r="C284" t="s">
        <v>31</v>
      </c>
      <c r="D284" t="s">
        <v>25</v>
      </c>
      <c r="E284" t="s">
        <v>27</v>
      </c>
      <c r="F284" t="s">
        <v>19</v>
      </c>
      <c r="G284">
        <v>2474</v>
      </c>
      <c r="H284">
        <v>56</v>
      </c>
      <c r="I284">
        <v>53</v>
      </c>
      <c r="J284">
        <v>1</v>
      </c>
      <c r="K284">
        <v>1163</v>
      </c>
      <c r="L284">
        <v>2.1422797089733225E-2</v>
      </c>
      <c r="M284">
        <v>2.2635408245755859E-2</v>
      </c>
      <c r="N284">
        <v>1.8867924528301886E-2</v>
      </c>
      <c r="O284">
        <v>1163</v>
      </c>
    </row>
    <row r="285" spans="1:15">
      <c r="A285">
        <v>46096</v>
      </c>
      <c r="B285" t="s">
        <v>46</v>
      </c>
      <c r="C285" t="s">
        <v>23</v>
      </c>
      <c r="D285" t="s">
        <v>32</v>
      </c>
      <c r="E285" t="s">
        <v>18</v>
      </c>
      <c r="F285" t="s">
        <v>22</v>
      </c>
      <c r="G285">
        <v>1994</v>
      </c>
      <c r="H285">
        <v>139</v>
      </c>
      <c r="I285">
        <v>32</v>
      </c>
      <c r="J285">
        <v>5</v>
      </c>
      <c r="K285">
        <v>3390</v>
      </c>
      <c r="L285">
        <v>1.60481444332999E-2</v>
      </c>
      <c r="M285">
        <v>6.9709127382146435E-2</v>
      </c>
      <c r="N285">
        <v>0.15625</v>
      </c>
      <c r="O285">
        <v>678</v>
      </c>
    </row>
    <row r="286" spans="1:15">
      <c r="A286">
        <v>46097</v>
      </c>
      <c r="B286" t="s">
        <v>46</v>
      </c>
      <c r="C286" t="s">
        <v>31</v>
      </c>
      <c r="D286" t="s">
        <v>32</v>
      </c>
      <c r="E286" t="s">
        <v>18</v>
      </c>
      <c r="F286" t="s">
        <v>19</v>
      </c>
      <c r="G286">
        <v>6105</v>
      </c>
      <c r="H286">
        <v>154</v>
      </c>
      <c r="I286">
        <v>130</v>
      </c>
      <c r="J286">
        <v>2</v>
      </c>
      <c r="K286">
        <v>2464</v>
      </c>
      <c r="L286">
        <v>2.1294021294021293E-2</v>
      </c>
      <c r="M286">
        <v>2.5225225225225224E-2</v>
      </c>
      <c r="N286">
        <v>1.5384615384615385E-2</v>
      </c>
      <c r="O286">
        <v>1232</v>
      </c>
    </row>
    <row r="287" spans="1:15">
      <c r="A287">
        <v>46097</v>
      </c>
      <c r="B287" t="s">
        <v>46</v>
      </c>
      <c r="C287" t="s">
        <v>33</v>
      </c>
      <c r="D287" t="s">
        <v>35</v>
      </c>
      <c r="E287" t="s">
        <v>18</v>
      </c>
      <c r="F287" t="s">
        <v>30</v>
      </c>
      <c r="G287">
        <v>1977</v>
      </c>
      <c r="H287">
        <v>65</v>
      </c>
      <c r="I287">
        <v>13</v>
      </c>
      <c r="J287">
        <v>0</v>
      </c>
      <c r="K287">
        <v>892</v>
      </c>
      <c r="L287">
        <v>6.5756196256954984E-3</v>
      </c>
      <c r="M287">
        <v>3.2878098128477494E-2</v>
      </c>
      <c r="N287">
        <v>0</v>
      </c>
    </row>
    <row r="288" spans="1:15">
      <c r="A288">
        <v>46097</v>
      </c>
      <c r="B288" t="s">
        <v>46</v>
      </c>
      <c r="C288" t="s">
        <v>24</v>
      </c>
      <c r="D288" t="s">
        <v>35</v>
      </c>
      <c r="E288" t="s">
        <v>27</v>
      </c>
      <c r="F288" t="s">
        <v>19</v>
      </c>
      <c r="G288">
        <v>4191</v>
      </c>
      <c r="H288">
        <v>121</v>
      </c>
      <c r="I288">
        <v>76</v>
      </c>
      <c r="J288">
        <v>1</v>
      </c>
      <c r="K288">
        <v>1034</v>
      </c>
      <c r="L288">
        <v>1.8134096874254355E-2</v>
      </c>
      <c r="M288">
        <v>2.8871391076115485E-2</v>
      </c>
      <c r="N288">
        <v>1.3157894736842105E-2</v>
      </c>
      <c r="O288">
        <v>1034</v>
      </c>
    </row>
    <row r="289" spans="1:15">
      <c r="A289">
        <v>46098</v>
      </c>
      <c r="B289" t="s">
        <v>46</v>
      </c>
      <c r="C289" t="s">
        <v>24</v>
      </c>
      <c r="D289" t="s">
        <v>17</v>
      </c>
      <c r="E289" t="s">
        <v>18</v>
      </c>
      <c r="F289" t="s">
        <v>22</v>
      </c>
      <c r="G289">
        <v>5640</v>
      </c>
      <c r="H289">
        <v>132</v>
      </c>
      <c r="I289">
        <v>100</v>
      </c>
      <c r="J289">
        <v>4</v>
      </c>
      <c r="K289">
        <v>1130</v>
      </c>
      <c r="L289">
        <v>1.7730496453900711E-2</v>
      </c>
      <c r="M289">
        <v>2.3404255319148935E-2</v>
      </c>
      <c r="N289">
        <v>0.04</v>
      </c>
      <c r="O289">
        <v>282.5</v>
      </c>
    </row>
    <row r="290" spans="1:15">
      <c r="A290">
        <v>46098</v>
      </c>
      <c r="B290" t="s">
        <v>46</v>
      </c>
      <c r="C290" t="s">
        <v>20</v>
      </c>
      <c r="D290" t="s">
        <v>21</v>
      </c>
      <c r="E290" t="s">
        <v>18</v>
      </c>
      <c r="F290" t="s">
        <v>34</v>
      </c>
      <c r="G290">
        <v>946</v>
      </c>
      <c r="H290">
        <v>179</v>
      </c>
      <c r="I290">
        <v>91</v>
      </c>
      <c r="J290">
        <v>9</v>
      </c>
      <c r="K290">
        <v>637</v>
      </c>
      <c r="L290">
        <v>9.6194503171247364E-2</v>
      </c>
      <c r="M290">
        <v>0.18921775898520085</v>
      </c>
      <c r="N290">
        <v>9.8901098901098897E-2</v>
      </c>
      <c r="O290">
        <v>70.777777777777771</v>
      </c>
    </row>
    <row r="291" spans="1:15">
      <c r="A291">
        <v>46098</v>
      </c>
      <c r="B291" t="s">
        <v>46</v>
      </c>
      <c r="C291" t="s">
        <v>23</v>
      </c>
      <c r="D291" t="s">
        <v>35</v>
      </c>
      <c r="E291" t="s">
        <v>26</v>
      </c>
      <c r="F291" t="s">
        <v>19</v>
      </c>
      <c r="G291">
        <v>1735</v>
      </c>
      <c r="H291">
        <v>204</v>
      </c>
      <c r="I291">
        <v>50</v>
      </c>
      <c r="J291">
        <v>12</v>
      </c>
      <c r="K291">
        <v>2629</v>
      </c>
      <c r="L291">
        <v>2.8818443804034581E-2</v>
      </c>
      <c r="M291">
        <v>0.11757925072046109</v>
      </c>
      <c r="N291">
        <v>0.24</v>
      </c>
      <c r="O291">
        <v>219.08333333333334</v>
      </c>
    </row>
    <row r="292" spans="1:15">
      <c r="A292">
        <v>46098</v>
      </c>
      <c r="B292" t="s">
        <v>46</v>
      </c>
      <c r="C292" t="s">
        <v>31</v>
      </c>
      <c r="D292" t="s">
        <v>25</v>
      </c>
      <c r="E292" t="s">
        <v>29</v>
      </c>
      <c r="F292" t="s">
        <v>28</v>
      </c>
      <c r="G292">
        <v>5167</v>
      </c>
      <c r="H292">
        <v>75</v>
      </c>
      <c r="I292">
        <v>83</v>
      </c>
      <c r="J292">
        <v>1</v>
      </c>
      <c r="K292">
        <v>2255</v>
      </c>
      <c r="L292">
        <v>1.6063479775498355E-2</v>
      </c>
      <c r="M292">
        <v>1.4515192568221405E-2</v>
      </c>
      <c r="N292">
        <v>1.2048192771084338E-2</v>
      </c>
      <c r="O292">
        <v>2255</v>
      </c>
    </row>
    <row r="293" spans="1:15">
      <c r="A293">
        <v>46099</v>
      </c>
      <c r="B293" t="s">
        <v>46</v>
      </c>
      <c r="C293" t="s">
        <v>20</v>
      </c>
      <c r="D293" t="s">
        <v>17</v>
      </c>
      <c r="E293" t="s">
        <v>27</v>
      </c>
      <c r="F293" t="s">
        <v>22</v>
      </c>
      <c r="G293">
        <v>969</v>
      </c>
      <c r="H293">
        <v>150</v>
      </c>
      <c r="I293">
        <v>44</v>
      </c>
      <c r="J293">
        <v>3</v>
      </c>
      <c r="K293">
        <v>932</v>
      </c>
      <c r="L293">
        <v>4.540763673890609E-2</v>
      </c>
      <c r="M293">
        <v>0.15479876160990713</v>
      </c>
      <c r="N293">
        <v>6.8181818181818177E-2</v>
      </c>
      <c r="O293">
        <v>310.66666666666669</v>
      </c>
    </row>
    <row r="294" spans="1:15">
      <c r="A294">
        <v>46099</v>
      </c>
      <c r="B294" t="s">
        <v>46</v>
      </c>
      <c r="C294" t="s">
        <v>23</v>
      </c>
      <c r="D294" t="s">
        <v>17</v>
      </c>
      <c r="E294" t="s">
        <v>18</v>
      </c>
      <c r="F294" t="s">
        <v>34</v>
      </c>
      <c r="G294">
        <v>2080</v>
      </c>
      <c r="H294">
        <v>223</v>
      </c>
      <c r="I294">
        <v>150</v>
      </c>
      <c r="J294">
        <v>27</v>
      </c>
      <c r="K294">
        <v>2268</v>
      </c>
      <c r="L294">
        <v>7.2115384615384609E-2</v>
      </c>
      <c r="M294">
        <v>0.10721153846153846</v>
      </c>
      <c r="N294">
        <v>0.18</v>
      </c>
      <c r="O294">
        <v>84</v>
      </c>
    </row>
    <row r="295" spans="1:15">
      <c r="A295">
        <v>46099</v>
      </c>
      <c r="B295" t="s">
        <v>46</v>
      </c>
      <c r="C295" t="s">
        <v>24</v>
      </c>
      <c r="D295" t="s">
        <v>17</v>
      </c>
      <c r="E295" t="s">
        <v>18</v>
      </c>
      <c r="F295" t="s">
        <v>34</v>
      </c>
      <c r="G295">
        <v>4388</v>
      </c>
      <c r="H295">
        <v>99</v>
      </c>
      <c r="I295">
        <v>124</v>
      </c>
      <c r="J295">
        <v>3</v>
      </c>
      <c r="K295">
        <v>1039</v>
      </c>
      <c r="L295">
        <v>2.8258887876025523E-2</v>
      </c>
      <c r="M295">
        <v>2.2561531449407476E-2</v>
      </c>
      <c r="N295">
        <v>2.4193548387096774E-2</v>
      </c>
      <c r="O295">
        <v>346.33333333333331</v>
      </c>
    </row>
    <row r="296" spans="1:15">
      <c r="A296">
        <v>46099</v>
      </c>
      <c r="B296" t="s">
        <v>46</v>
      </c>
      <c r="C296" t="s">
        <v>33</v>
      </c>
      <c r="D296" t="s">
        <v>17</v>
      </c>
      <c r="E296" t="s">
        <v>26</v>
      </c>
      <c r="F296" t="s">
        <v>30</v>
      </c>
      <c r="G296">
        <v>3843</v>
      </c>
      <c r="H296">
        <v>99</v>
      </c>
      <c r="I296">
        <v>62</v>
      </c>
      <c r="J296">
        <v>4</v>
      </c>
      <c r="K296">
        <v>666</v>
      </c>
      <c r="L296">
        <v>1.6133229247983348E-2</v>
      </c>
      <c r="M296">
        <v>2.576112412177986E-2</v>
      </c>
      <c r="N296">
        <v>6.4516129032258063E-2</v>
      </c>
      <c r="O296">
        <v>166.5</v>
      </c>
    </row>
    <row r="297" spans="1:15">
      <c r="A297">
        <v>46100</v>
      </c>
      <c r="B297" t="s">
        <v>47</v>
      </c>
      <c r="C297" t="s">
        <v>24</v>
      </c>
      <c r="D297" t="s">
        <v>25</v>
      </c>
      <c r="E297" t="s">
        <v>27</v>
      </c>
      <c r="F297" t="s">
        <v>34</v>
      </c>
      <c r="G297">
        <v>8221</v>
      </c>
      <c r="H297">
        <v>291</v>
      </c>
      <c r="I297">
        <v>157</v>
      </c>
      <c r="J297">
        <v>3</v>
      </c>
      <c r="K297">
        <v>825</v>
      </c>
      <c r="L297">
        <v>1.9097433402262498E-2</v>
      </c>
      <c r="M297">
        <v>3.5397153630945137E-2</v>
      </c>
      <c r="N297">
        <v>1.9108280254777069E-2</v>
      </c>
      <c r="O297">
        <v>275</v>
      </c>
    </row>
    <row r="298" spans="1:15">
      <c r="A298">
        <v>46100</v>
      </c>
      <c r="B298" t="s">
        <v>47</v>
      </c>
      <c r="C298" t="s">
        <v>16</v>
      </c>
      <c r="D298" t="s">
        <v>25</v>
      </c>
      <c r="E298" t="s">
        <v>29</v>
      </c>
      <c r="F298" t="s">
        <v>34</v>
      </c>
      <c r="G298">
        <v>1249</v>
      </c>
      <c r="H298">
        <v>177</v>
      </c>
      <c r="I298">
        <v>42</v>
      </c>
      <c r="J298">
        <v>4</v>
      </c>
      <c r="K298">
        <v>1184</v>
      </c>
      <c r="L298">
        <v>3.3626901521216973E-2</v>
      </c>
      <c r="M298">
        <v>0.14171337069655723</v>
      </c>
      <c r="N298">
        <v>9.5238095238095233E-2</v>
      </c>
      <c r="O298">
        <v>296</v>
      </c>
    </row>
    <row r="299" spans="1:15">
      <c r="A299">
        <v>46100</v>
      </c>
      <c r="B299" t="s">
        <v>47</v>
      </c>
      <c r="C299" t="s">
        <v>23</v>
      </c>
      <c r="D299" t="s">
        <v>17</v>
      </c>
      <c r="E299" t="s">
        <v>27</v>
      </c>
      <c r="F299" t="s">
        <v>19</v>
      </c>
      <c r="G299">
        <v>2385</v>
      </c>
      <c r="H299">
        <v>303</v>
      </c>
      <c r="I299">
        <v>159</v>
      </c>
      <c r="J299">
        <v>38</v>
      </c>
      <c r="K299">
        <v>1790</v>
      </c>
      <c r="L299">
        <v>6.6666666666666666E-2</v>
      </c>
      <c r="M299">
        <v>0.1270440251572327</v>
      </c>
      <c r="N299">
        <v>0.2389937106918239</v>
      </c>
      <c r="O299">
        <v>47.10526315789474</v>
      </c>
    </row>
    <row r="300" spans="1:15">
      <c r="A300">
        <v>46100</v>
      </c>
      <c r="B300" t="s">
        <v>47</v>
      </c>
      <c r="C300" t="s">
        <v>31</v>
      </c>
      <c r="D300" t="s">
        <v>17</v>
      </c>
      <c r="E300" t="s">
        <v>18</v>
      </c>
      <c r="F300" t="s">
        <v>19</v>
      </c>
      <c r="G300">
        <v>6841</v>
      </c>
      <c r="H300">
        <v>117</v>
      </c>
      <c r="I300">
        <v>212</v>
      </c>
      <c r="J300">
        <v>5</v>
      </c>
      <c r="K300">
        <v>2011</v>
      </c>
      <c r="L300">
        <v>3.0989621400380061E-2</v>
      </c>
      <c r="M300">
        <v>1.7102762753983335E-2</v>
      </c>
      <c r="N300">
        <v>2.358490566037736E-2</v>
      </c>
      <c r="O300">
        <v>402.2</v>
      </c>
    </row>
    <row r="301" spans="1:15">
      <c r="A301">
        <v>46100</v>
      </c>
      <c r="B301" t="s">
        <v>47</v>
      </c>
      <c r="C301" t="s">
        <v>36</v>
      </c>
      <c r="D301" t="s">
        <v>21</v>
      </c>
      <c r="E301" t="s">
        <v>27</v>
      </c>
      <c r="F301" t="s">
        <v>30</v>
      </c>
      <c r="G301">
        <v>86</v>
      </c>
      <c r="H301">
        <v>32</v>
      </c>
      <c r="I301">
        <v>39</v>
      </c>
      <c r="J301">
        <v>24</v>
      </c>
      <c r="K301">
        <v>3357</v>
      </c>
      <c r="L301">
        <v>0.45348837209302323</v>
      </c>
      <c r="M301">
        <v>0.37209302325581395</v>
      </c>
      <c r="N301">
        <v>0.61538461538461542</v>
      </c>
      <c r="O301">
        <v>139.875</v>
      </c>
    </row>
    <row r="302" spans="1:15">
      <c r="A302">
        <v>46101</v>
      </c>
      <c r="B302" t="s">
        <v>47</v>
      </c>
      <c r="C302" t="s">
        <v>23</v>
      </c>
      <c r="D302" t="s">
        <v>25</v>
      </c>
      <c r="E302" t="s">
        <v>27</v>
      </c>
      <c r="F302" t="s">
        <v>22</v>
      </c>
      <c r="G302">
        <v>992</v>
      </c>
      <c r="H302">
        <v>86</v>
      </c>
      <c r="I302">
        <v>30</v>
      </c>
      <c r="J302">
        <v>3</v>
      </c>
      <c r="K302">
        <v>3677</v>
      </c>
      <c r="L302">
        <v>3.0241935483870969E-2</v>
      </c>
      <c r="M302">
        <v>8.669354838709678E-2</v>
      </c>
      <c r="N302">
        <v>0.1</v>
      </c>
      <c r="O302">
        <v>1225.6666666666667</v>
      </c>
    </row>
    <row r="303" spans="1:15">
      <c r="A303">
        <v>46101</v>
      </c>
      <c r="B303" t="s">
        <v>47</v>
      </c>
      <c r="C303" t="s">
        <v>31</v>
      </c>
      <c r="D303" t="s">
        <v>35</v>
      </c>
      <c r="E303" t="s">
        <v>26</v>
      </c>
      <c r="F303" t="s">
        <v>19</v>
      </c>
      <c r="G303">
        <v>7183</v>
      </c>
      <c r="H303">
        <v>149</v>
      </c>
      <c r="I303">
        <v>173</v>
      </c>
      <c r="J303">
        <v>2</v>
      </c>
      <c r="K303">
        <v>998</v>
      </c>
      <c r="L303">
        <v>2.40846442990394E-2</v>
      </c>
      <c r="M303">
        <v>2.0743421968536822E-2</v>
      </c>
      <c r="N303">
        <v>1.1560693641618497E-2</v>
      </c>
      <c r="O303">
        <v>499</v>
      </c>
    </row>
    <row r="304" spans="1:15">
      <c r="A304">
        <v>46102</v>
      </c>
      <c r="B304" t="s">
        <v>47</v>
      </c>
      <c r="C304" t="s">
        <v>33</v>
      </c>
      <c r="D304" t="s">
        <v>25</v>
      </c>
      <c r="E304" t="s">
        <v>18</v>
      </c>
      <c r="F304" t="s">
        <v>19</v>
      </c>
      <c r="G304">
        <v>3179</v>
      </c>
      <c r="H304">
        <v>92</v>
      </c>
      <c r="I304">
        <v>34</v>
      </c>
      <c r="J304">
        <v>2</v>
      </c>
      <c r="K304">
        <v>543</v>
      </c>
      <c r="L304">
        <v>1.06951871657754E-2</v>
      </c>
      <c r="M304">
        <v>2.8939918213274615E-2</v>
      </c>
      <c r="N304">
        <v>5.8823529411764705E-2</v>
      </c>
      <c r="O304">
        <v>271.5</v>
      </c>
    </row>
    <row r="305" spans="1:15">
      <c r="A305">
        <v>46102</v>
      </c>
      <c r="B305" t="s">
        <v>47</v>
      </c>
      <c r="C305" t="s">
        <v>24</v>
      </c>
      <c r="D305" t="s">
        <v>32</v>
      </c>
      <c r="E305" t="s">
        <v>18</v>
      </c>
      <c r="F305" t="s">
        <v>30</v>
      </c>
      <c r="G305">
        <v>2862</v>
      </c>
      <c r="H305">
        <v>61</v>
      </c>
      <c r="I305">
        <v>24</v>
      </c>
      <c r="J305">
        <v>0</v>
      </c>
      <c r="K305">
        <v>1184</v>
      </c>
      <c r="L305">
        <v>8.385744234800839E-3</v>
      </c>
      <c r="M305">
        <v>2.1313766596785466E-2</v>
      </c>
      <c r="N305">
        <v>0</v>
      </c>
    </row>
    <row r="306" spans="1:15">
      <c r="A306">
        <v>46102</v>
      </c>
      <c r="B306" t="s">
        <v>47</v>
      </c>
      <c r="C306" t="s">
        <v>20</v>
      </c>
      <c r="D306" t="s">
        <v>17</v>
      </c>
      <c r="E306" t="s">
        <v>27</v>
      </c>
      <c r="F306" t="s">
        <v>19</v>
      </c>
      <c r="G306">
        <v>1087</v>
      </c>
      <c r="H306">
        <v>256</v>
      </c>
      <c r="I306">
        <v>80</v>
      </c>
      <c r="J306">
        <v>9</v>
      </c>
      <c r="K306">
        <v>1239</v>
      </c>
      <c r="L306">
        <v>7.3597056117755286E-2</v>
      </c>
      <c r="M306">
        <v>0.23551057957681693</v>
      </c>
      <c r="N306">
        <v>0.1125</v>
      </c>
      <c r="O306">
        <v>137.66666666666666</v>
      </c>
    </row>
    <row r="307" spans="1:15">
      <c r="A307">
        <v>46103</v>
      </c>
      <c r="B307" t="s">
        <v>47</v>
      </c>
      <c r="C307" t="s">
        <v>36</v>
      </c>
      <c r="D307" t="s">
        <v>25</v>
      </c>
      <c r="E307" t="s">
        <v>18</v>
      </c>
      <c r="F307" t="s">
        <v>30</v>
      </c>
      <c r="G307">
        <v>80</v>
      </c>
      <c r="H307">
        <v>48</v>
      </c>
      <c r="I307">
        <v>32</v>
      </c>
      <c r="J307">
        <v>7</v>
      </c>
      <c r="K307">
        <v>5381</v>
      </c>
      <c r="L307">
        <v>0.4</v>
      </c>
      <c r="M307">
        <v>0.6</v>
      </c>
      <c r="N307">
        <v>0.21875</v>
      </c>
      <c r="O307">
        <v>768.71428571428567</v>
      </c>
    </row>
    <row r="308" spans="1:15">
      <c r="A308">
        <v>46103</v>
      </c>
      <c r="B308" t="s">
        <v>47</v>
      </c>
      <c r="C308" t="s">
        <v>23</v>
      </c>
      <c r="D308" t="s">
        <v>17</v>
      </c>
      <c r="E308" t="s">
        <v>18</v>
      </c>
      <c r="F308" t="s">
        <v>34</v>
      </c>
      <c r="G308">
        <v>858</v>
      </c>
      <c r="H308">
        <v>87</v>
      </c>
      <c r="I308">
        <v>58</v>
      </c>
      <c r="J308">
        <v>10</v>
      </c>
      <c r="K308">
        <v>3551</v>
      </c>
      <c r="L308">
        <v>6.75990675990676E-2</v>
      </c>
      <c r="M308">
        <v>0.10139860139860139</v>
      </c>
      <c r="N308">
        <v>0.17241379310344829</v>
      </c>
      <c r="O308">
        <v>355.1</v>
      </c>
    </row>
    <row r="309" spans="1:15">
      <c r="A309">
        <v>46103</v>
      </c>
      <c r="B309" t="s">
        <v>47</v>
      </c>
      <c r="C309" t="s">
        <v>31</v>
      </c>
      <c r="D309" t="s">
        <v>32</v>
      </c>
      <c r="E309" t="s">
        <v>27</v>
      </c>
      <c r="F309" t="s">
        <v>19</v>
      </c>
      <c r="G309">
        <v>4166</v>
      </c>
      <c r="H309">
        <v>95</v>
      </c>
      <c r="I309">
        <v>100</v>
      </c>
      <c r="J309">
        <v>1</v>
      </c>
      <c r="K309">
        <v>1743</v>
      </c>
      <c r="L309">
        <v>2.4003840614498319E-2</v>
      </c>
      <c r="M309">
        <v>2.2803648583773404E-2</v>
      </c>
      <c r="N309">
        <v>0.01</v>
      </c>
      <c r="O309">
        <v>1743</v>
      </c>
    </row>
    <row r="310" spans="1:15">
      <c r="A310">
        <v>46103</v>
      </c>
      <c r="B310" t="s">
        <v>47</v>
      </c>
      <c r="C310" t="s">
        <v>33</v>
      </c>
      <c r="D310" t="s">
        <v>25</v>
      </c>
      <c r="E310" t="s">
        <v>27</v>
      </c>
      <c r="F310" t="s">
        <v>19</v>
      </c>
      <c r="G310">
        <v>2922</v>
      </c>
      <c r="H310">
        <v>115</v>
      </c>
      <c r="I310">
        <v>21</v>
      </c>
      <c r="J310">
        <v>1</v>
      </c>
      <c r="K310">
        <v>498</v>
      </c>
      <c r="L310">
        <v>7.1868583162217657E-3</v>
      </c>
      <c r="M310">
        <v>3.9356605065023954E-2</v>
      </c>
      <c r="N310">
        <v>4.7619047619047616E-2</v>
      </c>
      <c r="O310">
        <v>498</v>
      </c>
    </row>
    <row r="311" spans="1:15">
      <c r="A311">
        <v>46103</v>
      </c>
      <c r="B311" t="s">
        <v>47</v>
      </c>
      <c r="C311" t="s">
        <v>24</v>
      </c>
      <c r="D311" t="s">
        <v>32</v>
      </c>
      <c r="E311" t="s">
        <v>26</v>
      </c>
      <c r="F311" t="s">
        <v>22</v>
      </c>
      <c r="G311">
        <v>3141</v>
      </c>
      <c r="H311">
        <v>47</v>
      </c>
      <c r="I311">
        <v>30</v>
      </c>
      <c r="J311">
        <v>0</v>
      </c>
      <c r="K311">
        <v>824</v>
      </c>
      <c r="L311">
        <v>9.5510983763132766E-3</v>
      </c>
      <c r="M311">
        <v>1.4963387456224133E-2</v>
      </c>
      <c r="N311">
        <v>0</v>
      </c>
    </row>
    <row r="312" spans="1:15">
      <c r="A312">
        <v>46104</v>
      </c>
      <c r="B312" t="s">
        <v>47</v>
      </c>
      <c r="C312" t="s">
        <v>31</v>
      </c>
      <c r="D312" t="s">
        <v>17</v>
      </c>
      <c r="E312" t="s">
        <v>27</v>
      </c>
      <c r="F312" t="s">
        <v>34</v>
      </c>
      <c r="G312">
        <v>9899</v>
      </c>
      <c r="H312">
        <v>244</v>
      </c>
      <c r="I312">
        <v>342</v>
      </c>
      <c r="J312">
        <v>8</v>
      </c>
      <c r="K312">
        <v>1914</v>
      </c>
      <c r="L312">
        <v>3.4548944337811902E-2</v>
      </c>
      <c r="M312">
        <v>2.464895443984241E-2</v>
      </c>
      <c r="N312">
        <v>2.3391812865497075E-2</v>
      </c>
      <c r="O312">
        <v>239.25</v>
      </c>
    </row>
    <row r="313" spans="1:15">
      <c r="A313">
        <v>46104</v>
      </c>
      <c r="B313" t="s">
        <v>47</v>
      </c>
      <c r="C313" t="s">
        <v>20</v>
      </c>
      <c r="D313" t="s">
        <v>25</v>
      </c>
      <c r="E313" t="s">
        <v>26</v>
      </c>
      <c r="F313" t="s">
        <v>34</v>
      </c>
      <c r="G313">
        <v>1025</v>
      </c>
      <c r="H313">
        <v>208</v>
      </c>
      <c r="I313">
        <v>57</v>
      </c>
      <c r="J313">
        <v>4</v>
      </c>
      <c r="K313">
        <v>947</v>
      </c>
      <c r="L313">
        <v>5.5609756097560976E-2</v>
      </c>
      <c r="M313">
        <v>0.2029268292682927</v>
      </c>
      <c r="N313">
        <v>7.0175438596491224E-2</v>
      </c>
      <c r="O313">
        <v>236.75</v>
      </c>
    </row>
    <row r="314" spans="1:15">
      <c r="A314">
        <v>46104</v>
      </c>
      <c r="B314" t="s">
        <v>47</v>
      </c>
      <c r="C314" t="s">
        <v>16</v>
      </c>
      <c r="D314" t="s">
        <v>25</v>
      </c>
      <c r="E314" t="s">
        <v>18</v>
      </c>
      <c r="F314" t="s">
        <v>34</v>
      </c>
      <c r="G314">
        <v>1142</v>
      </c>
      <c r="H314">
        <v>208</v>
      </c>
      <c r="I314">
        <v>67</v>
      </c>
      <c r="J314">
        <v>5</v>
      </c>
      <c r="K314">
        <v>619</v>
      </c>
      <c r="L314">
        <v>5.8669001751313482E-2</v>
      </c>
      <c r="M314">
        <v>0.18213660245183888</v>
      </c>
      <c r="N314">
        <v>7.4626865671641784E-2</v>
      </c>
      <c r="O314">
        <v>123.8</v>
      </c>
    </row>
    <row r="315" spans="1:15">
      <c r="A315">
        <v>46105</v>
      </c>
      <c r="B315" t="s">
        <v>47</v>
      </c>
      <c r="C315" t="s">
        <v>24</v>
      </c>
      <c r="D315" t="s">
        <v>17</v>
      </c>
      <c r="E315" t="s">
        <v>27</v>
      </c>
      <c r="F315" t="s">
        <v>34</v>
      </c>
      <c r="G315">
        <v>3403</v>
      </c>
      <c r="H315">
        <v>74</v>
      </c>
      <c r="I315">
        <v>99</v>
      </c>
      <c r="J315">
        <v>2</v>
      </c>
      <c r="K315">
        <v>997</v>
      </c>
      <c r="L315">
        <v>2.9091977666764621E-2</v>
      </c>
      <c r="M315">
        <v>2.1745518660005878E-2</v>
      </c>
      <c r="N315">
        <v>2.0202020202020204E-2</v>
      </c>
      <c r="O315">
        <v>498.5</v>
      </c>
    </row>
    <row r="316" spans="1:15">
      <c r="A316">
        <v>46105</v>
      </c>
      <c r="B316" t="s">
        <v>47</v>
      </c>
      <c r="C316" t="s">
        <v>31</v>
      </c>
      <c r="D316" t="s">
        <v>17</v>
      </c>
      <c r="E316" t="s">
        <v>18</v>
      </c>
      <c r="F316" t="s">
        <v>28</v>
      </c>
      <c r="G316">
        <v>6240</v>
      </c>
      <c r="H316">
        <v>113</v>
      </c>
      <c r="I316">
        <v>254</v>
      </c>
      <c r="J316">
        <v>7</v>
      </c>
      <c r="K316">
        <v>2319</v>
      </c>
      <c r="L316">
        <v>4.0705128205128206E-2</v>
      </c>
      <c r="M316">
        <v>1.8108974358974361E-2</v>
      </c>
      <c r="N316">
        <v>2.7559055118110236E-2</v>
      </c>
      <c r="O316">
        <v>331.28571428571428</v>
      </c>
    </row>
    <row r="317" spans="1:15">
      <c r="A317">
        <v>46105</v>
      </c>
      <c r="B317" t="s">
        <v>47</v>
      </c>
      <c r="C317" t="s">
        <v>16</v>
      </c>
      <c r="D317" t="s">
        <v>25</v>
      </c>
      <c r="E317" t="s">
        <v>26</v>
      </c>
      <c r="F317" t="s">
        <v>22</v>
      </c>
      <c r="G317">
        <v>850</v>
      </c>
      <c r="H317">
        <v>103</v>
      </c>
      <c r="I317">
        <v>24</v>
      </c>
      <c r="J317">
        <v>1</v>
      </c>
      <c r="K317">
        <v>696</v>
      </c>
      <c r="L317">
        <v>2.823529411764706E-2</v>
      </c>
      <c r="M317">
        <v>0.12117647058823529</v>
      </c>
      <c r="N317">
        <v>4.1666666666666664E-2</v>
      </c>
      <c r="O317">
        <v>696</v>
      </c>
    </row>
    <row r="318" spans="1:15">
      <c r="A318">
        <v>46105</v>
      </c>
      <c r="B318" t="s">
        <v>47</v>
      </c>
      <c r="C318" t="s">
        <v>33</v>
      </c>
      <c r="D318" t="s">
        <v>25</v>
      </c>
      <c r="E318" t="s">
        <v>18</v>
      </c>
      <c r="F318" t="s">
        <v>34</v>
      </c>
      <c r="G318">
        <v>2183</v>
      </c>
      <c r="H318">
        <v>107</v>
      </c>
      <c r="I318">
        <v>15</v>
      </c>
      <c r="J318">
        <v>0</v>
      </c>
      <c r="K318">
        <v>459</v>
      </c>
      <c r="L318">
        <v>6.8712780577187358E-3</v>
      </c>
      <c r="M318">
        <v>4.9015116811726982E-2</v>
      </c>
      <c r="N318">
        <v>0</v>
      </c>
    </row>
    <row r="319" spans="1:15">
      <c r="A319">
        <v>46106</v>
      </c>
      <c r="B319" t="s">
        <v>47</v>
      </c>
      <c r="C319" t="s">
        <v>33</v>
      </c>
      <c r="D319" t="s">
        <v>35</v>
      </c>
      <c r="E319" t="s">
        <v>27</v>
      </c>
      <c r="F319" t="s">
        <v>22</v>
      </c>
      <c r="G319">
        <v>2917</v>
      </c>
      <c r="H319">
        <v>76</v>
      </c>
      <c r="I319">
        <v>19</v>
      </c>
      <c r="J319">
        <v>1</v>
      </c>
      <c r="K319">
        <v>957</v>
      </c>
      <c r="L319">
        <v>6.5135413095646208E-3</v>
      </c>
      <c r="M319">
        <v>2.6054165238258483E-2</v>
      </c>
      <c r="N319">
        <v>5.2631578947368418E-2</v>
      </c>
      <c r="O319">
        <v>957</v>
      </c>
    </row>
    <row r="320" spans="1:15">
      <c r="A320">
        <v>46106</v>
      </c>
      <c r="B320" t="s">
        <v>47</v>
      </c>
      <c r="C320" t="s">
        <v>16</v>
      </c>
      <c r="D320" t="s">
        <v>25</v>
      </c>
      <c r="E320" t="s">
        <v>18</v>
      </c>
      <c r="F320" t="s">
        <v>19</v>
      </c>
      <c r="G320">
        <v>799</v>
      </c>
      <c r="H320">
        <v>146</v>
      </c>
      <c r="I320">
        <v>42</v>
      </c>
      <c r="K320">
        <v>527</v>
      </c>
      <c r="L320">
        <v>5.2565707133917394E-2</v>
      </c>
      <c r="M320">
        <v>0.18272841051314143</v>
      </c>
    </row>
    <row r="321" spans="1:15">
      <c r="A321">
        <v>46106</v>
      </c>
      <c r="B321" t="s">
        <v>47</v>
      </c>
      <c r="C321" t="s">
        <v>31</v>
      </c>
      <c r="D321" t="s">
        <v>25</v>
      </c>
      <c r="E321" t="s">
        <v>27</v>
      </c>
      <c r="F321" t="s">
        <v>22</v>
      </c>
      <c r="G321">
        <v>5321</v>
      </c>
      <c r="H321">
        <v>59</v>
      </c>
      <c r="I321">
        <v>107</v>
      </c>
      <c r="J321">
        <v>1</v>
      </c>
      <c r="K321">
        <v>1938</v>
      </c>
      <c r="L321">
        <v>2.0109002067280585E-2</v>
      </c>
      <c r="M321">
        <v>1.1088141326818268E-2</v>
      </c>
      <c r="N321">
        <v>9.3457943925233638E-3</v>
      </c>
      <c r="O321">
        <v>1938</v>
      </c>
    </row>
    <row r="322" spans="1:15">
      <c r="A322">
        <v>46106</v>
      </c>
      <c r="B322" t="s">
        <v>47</v>
      </c>
      <c r="C322" t="s">
        <v>20</v>
      </c>
      <c r="D322" t="s">
        <v>25</v>
      </c>
      <c r="E322" t="s">
        <v>27</v>
      </c>
      <c r="F322" t="s">
        <v>28</v>
      </c>
      <c r="G322">
        <v>693</v>
      </c>
      <c r="H322">
        <v>122</v>
      </c>
      <c r="I322">
        <v>39</v>
      </c>
      <c r="J322">
        <v>1</v>
      </c>
      <c r="K322">
        <v>1159</v>
      </c>
      <c r="L322">
        <v>5.627705627705628E-2</v>
      </c>
      <c r="M322">
        <v>0.17604617604617603</v>
      </c>
      <c r="N322">
        <v>2.564102564102564E-2</v>
      </c>
      <c r="O322">
        <v>1159</v>
      </c>
    </row>
    <row r="323" spans="1:15">
      <c r="A323">
        <v>46106</v>
      </c>
      <c r="B323" t="s">
        <v>47</v>
      </c>
      <c r="C323" t="s">
        <v>24</v>
      </c>
      <c r="D323" t="s">
        <v>25</v>
      </c>
      <c r="E323" t="s">
        <v>26</v>
      </c>
      <c r="F323" t="s">
        <v>22</v>
      </c>
      <c r="G323">
        <v>3812</v>
      </c>
      <c r="H323">
        <v>65</v>
      </c>
      <c r="I323">
        <v>39</v>
      </c>
      <c r="J323">
        <v>1</v>
      </c>
      <c r="K323">
        <v>1966</v>
      </c>
      <c r="L323">
        <v>1.0230849947534103E-2</v>
      </c>
      <c r="M323">
        <v>1.7051416579223506E-2</v>
      </c>
      <c r="N323">
        <v>2.564102564102564E-2</v>
      </c>
      <c r="O323">
        <v>1966</v>
      </c>
    </row>
    <row r="324" spans="1:15">
      <c r="A324">
        <v>46107</v>
      </c>
      <c r="B324" t="s">
        <v>48</v>
      </c>
      <c r="C324" t="s">
        <v>20</v>
      </c>
      <c r="D324" t="s">
        <v>17</v>
      </c>
      <c r="E324" t="s">
        <v>29</v>
      </c>
      <c r="F324" t="s">
        <v>34</v>
      </c>
      <c r="G324">
        <v>429</v>
      </c>
      <c r="H324">
        <v>89</v>
      </c>
      <c r="I324">
        <v>51</v>
      </c>
      <c r="J324">
        <v>3</v>
      </c>
      <c r="K324">
        <v>825</v>
      </c>
      <c r="L324">
        <v>0.11888111888111888</v>
      </c>
      <c r="M324">
        <v>0.20745920745920746</v>
      </c>
      <c r="N324">
        <v>5.8823529411764705E-2</v>
      </c>
      <c r="O324">
        <v>275</v>
      </c>
    </row>
    <row r="325" spans="1:15">
      <c r="A325">
        <v>46107</v>
      </c>
      <c r="B325" t="s">
        <v>48</v>
      </c>
      <c r="C325" t="s">
        <v>33</v>
      </c>
      <c r="D325" t="s">
        <v>25</v>
      </c>
      <c r="E325" t="s">
        <v>29</v>
      </c>
      <c r="F325" t="s">
        <v>30</v>
      </c>
      <c r="G325">
        <v>2441</v>
      </c>
      <c r="H325">
        <v>113</v>
      </c>
      <c r="I325">
        <v>24</v>
      </c>
      <c r="J325">
        <v>1</v>
      </c>
      <c r="K325">
        <v>788</v>
      </c>
      <c r="L325">
        <v>9.8320360507988536E-3</v>
      </c>
      <c r="M325">
        <v>4.6292503072511267E-2</v>
      </c>
      <c r="N325">
        <v>4.1666666666666664E-2</v>
      </c>
      <c r="O325">
        <v>788</v>
      </c>
    </row>
    <row r="326" spans="1:15">
      <c r="A326">
        <v>46107</v>
      </c>
      <c r="B326" t="s">
        <v>48</v>
      </c>
      <c r="C326" t="s">
        <v>16</v>
      </c>
      <c r="D326" t="s">
        <v>25</v>
      </c>
      <c r="E326" t="s">
        <v>18</v>
      </c>
      <c r="F326" t="s">
        <v>34</v>
      </c>
      <c r="G326">
        <v>357</v>
      </c>
      <c r="H326">
        <v>54</v>
      </c>
      <c r="I326">
        <v>11</v>
      </c>
      <c r="J326">
        <v>1</v>
      </c>
      <c r="K326">
        <v>1189</v>
      </c>
      <c r="L326">
        <v>3.081232492997199E-2</v>
      </c>
      <c r="M326">
        <v>0.15126050420168066</v>
      </c>
      <c r="N326">
        <v>9.0909090909090912E-2</v>
      </c>
      <c r="O326">
        <v>1189</v>
      </c>
    </row>
    <row r="327" spans="1:15">
      <c r="A327">
        <v>46108</v>
      </c>
      <c r="B327" t="s">
        <v>48</v>
      </c>
      <c r="C327" t="s">
        <v>24</v>
      </c>
      <c r="D327" t="s">
        <v>25</v>
      </c>
      <c r="E327" t="s">
        <v>26</v>
      </c>
      <c r="F327" t="s">
        <v>30</v>
      </c>
      <c r="G327">
        <v>4462</v>
      </c>
      <c r="H327">
        <v>97</v>
      </c>
      <c r="I327">
        <v>101</v>
      </c>
      <c r="K327">
        <v>1343</v>
      </c>
      <c r="L327">
        <v>2.2635589421783953E-2</v>
      </c>
      <c r="M327">
        <v>2.1739130434782608E-2</v>
      </c>
    </row>
    <row r="328" spans="1:15">
      <c r="A328">
        <v>46108</v>
      </c>
      <c r="B328" t="s">
        <v>48</v>
      </c>
      <c r="C328" t="s">
        <v>33</v>
      </c>
      <c r="D328" t="s">
        <v>17</v>
      </c>
      <c r="E328" t="s">
        <v>27</v>
      </c>
      <c r="F328" t="s">
        <v>30</v>
      </c>
      <c r="G328">
        <v>1808</v>
      </c>
      <c r="H328">
        <v>66</v>
      </c>
      <c r="I328">
        <v>15</v>
      </c>
      <c r="J328">
        <v>0</v>
      </c>
      <c r="K328">
        <v>724</v>
      </c>
      <c r="L328">
        <v>8.2964601769911512E-3</v>
      </c>
      <c r="M328">
        <v>3.6504424778761063E-2</v>
      </c>
      <c r="N328">
        <v>0</v>
      </c>
    </row>
    <row r="329" spans="1:15">
      <c r="A329">
        <v>46108</v>
      </c>
      <c r="B329" t="s">
        <v>48</v>
      </c>
      <c r="C329" t="s">
        <v>16</v>
      </c>
      <c r="D329" t="s">
        <v>25</v>
      </c>
      <c r="E329" t="s">
        <v>18</v>
      </c>
      <c r="F329" t="s">
        <v>22</v>
      </c>
      <c r="G329">
        <v>543</v>
      </c>
      <c r="H329">
        <v>79</v>
      </c>
      <c r="I329">
        <v>23</v>
      </c>
      <c r="J329">
        <v>2</v>
      </c>
      <c r="K329">
        <v>1260</v>
      </c>
      <c r="L329">
        <v>4.2357274401473299E-2</v>
      </c>
      <c r="M329">
        <v>0.14548802946593001</v>
      </c>
      <c r="N329">
        <v>8.6956521739130432E-2</v>
      </c>
      <c r="O329">
        <v>630</v>
      </c>
    </row>
    <row r="330" spans="1:15">
      <c r="A330">
        <v>46108</v>
      </c>
      <c r="B330" t="s">
        <v>48</v>
      </c>
      <c r="C330" t="s">
        <v>36</v>
      </c>
      <c r="D330" t="s">
        <v>25</v>
      </c>
      <c r="E330" t="s">
        <v>26</v>
      </c>
      <c r="F330" t="s">
        <v>34</v>
      </c>
      <c r="G330">
        <v>80</v>
      </c>
      <c r="H330">
        <v>47</v>
      </c>
      <c r="I330">
        <v>26</v>
      </c>
      <c r="J330">
        <v>9</v>
      </c>
      <c r="K330">
        <v>4092</v>
      </c>
      <c r="L330">
        <v>0.32500000000000001</v>
      </c>
      <c r="M330">
        <v>0.58750000000000002</v>
      </c>
      <c r="N330">
        <v>0.34615384615384615</v>
      </c>
      <c r="O330">
        <v>454.66666666666669</v>
      </c>
    </row>
    <row r="331" spans="1:15">
      <c r="A331">
        <v>46108</v>
      </c>
      <c r="B331" t="s">
        <v>48</v>
      </c>
      <c r="C331" t="s">
        <v>31</v>
      </c>
      <c r="D331" t="s">
        <v>21</v>
      </c>
      <c r="E331" t="s">
        <v>18</v>
      </c>
      <c r="F331" t="s">
        <v>30</v>
      </c>
      <c r="G331">
        <v>3553</v>
      </c>
      <c r="H331">
        <v>70</v>
      </c>
      <c r="I331">
        <v>94</v>
      </c>
      <c r="J331">
        <v>1</v>
      </c>
      <c r="K331">
        <v>2199</v>
      </c>
      <c r="L331">
        <v>2.6456515620602309E-2</v>
      </c>
      <c r="M331">
        <v>1.9701660568533633E-2</v>
      </c>
      <c r="N331">
        <v>1.0638297872340425E-2</v>
      </c>
      <c r="O331">
        <v>2199</v>
      </c>
    </row>
    <row r="332" spans="1:15">
      <c r="A332">
        <v>46109</v>
      </c>
      <c r="B332" t="s">
        <v>48</v>
      </c>
      <c r="C332" t="s">
        <v>24</v>
      </c>
      <c r="D332" t="s">
        <v>17</v>
      </c>
      <c r="E332" t="s">
        <v>26</v>
      </c>
      <c r="F332" t="s">
        <v>19</v>
      </c>
      <c r="G332">
        <v>4853</v>
      </c>
      <c r="H332">
        <v>101</v>
      </c>
      <c r="I332">
        <v>90</v>
      </c>
      <c r="J332">
        <v>4</v>
      </c>
      <c r="L332">
        <v>1.8545229754790851E-2</v>
      </c>
      <c r="M332">
        <v>2.0811868947043066E-2</v>
      </c>
      <c r="N332">
        <v>4.4444444444444446E-2</v>
      </c>
    </row>
    <row r="333" spans="1:15">
      <c r="A333">
        <v>46109</v>
      </c>
      <c r="B333" t="s">
        <v>48</v>
      </c>
      <c r="C333" t="s">
        <v>20</v>
      </c>
      <c r="D333" t="s">
        <v>32</v>
      </c>
      <c r="E333" t="s">
        <v>26</v>
      </c>
      <c r="F333" t="s">
        <v>22</v>
      </c>
      <c r="G333">
        <v>1065</v>
      </c>
      <c r="H333">
        <v>164</v>
      </c>
      <c r="I333">
        <v>44</v>
      </c>
      <c r="J333">
        <v>2</v>
      </c>
      <c r="K333">
        <v>786</v>
      </c>
      <c r="L333">
        <v>4.1314553990610327E-2</v>
      </c>
      <c r="M333">
        <v>0.15399061032863851</v>
      </c>
      <c r="N333">
        <v>4.5454545454545456E-2</v>
      </c>
      <c r="O333">
        <v>393</v>
      </c>
    </row>
    <row r="334" spans="1:15">
      <c r="A334">
        <v>46109</v>
      </c>
      <c r="B334" t="s">
        <v>48</v>
      </c>
      <c r="C334" t="s">
        <v>23</v>
      </c>
      <c r="D334" t="s">
        <v>32</v>
      </c>
      <c r="E334" t="s">
        <v>18</v>
      </c>
      <c r="F334" t="s">
        <v>22</v>
      </c>
      <c r="G334">
        <v>2199</v>
      </c>
      <c r="H334">
        <v>125</v>
      </c>
      <c r="I334">
        <v>48</v>
      </c>
      <c r="J334">
        <v>5</v>
      </c>
      <c r="L334">
        <v>2.1828103683492497E-2</v>
      </c>
      <c r="M334">
        <v>5.6844020009095046E-2</v>
      </c>
      <c r="N334">
        <v>0.10416666666666667</v>
      </c>
    </row>
    <row r="335" spans="1:15">
      <c r="A335">
        <v>46109</v>
      </c>
      <c r="B335" t="s">
        <v>48</v>
      </c>
      <c r="C335" t="s">
        <v>16</v>
      </c>
      <c r="D335" t="s">
        <v>25</v>
      </c>
      <c r="E335" t="s">
        <v>18</v>
      </c>
      <c r="F335" t="s">
        <v>22</v>
      </c>
      <c r="G335">
        <v>862</v>
      </c>
      <c r="H335">
        <v>97</v>
      </c>
      <c r="I335">
        <v>25</v>
      </c>
      <c r="J335">
        <v>3</v>
      </c>
      <c r="K335">
        <v>816</v>
      </c>
      <c r="L335">
        <v>2.9002320185614848E-2</v>
      </c>
      <c r="M335">
        <v>0.11252900232018562</v>
      </c>
      <c r="N335">
        <v>0.12</v>
      </c>
      <c r="O335">
        <v>272</v>
      </c>
    </row>
    <row r="336" spans="1:15">
      <c r="A336">
        <v>46110</v>
      </c>
      <c r="B336" t="s">
        <v>48</v>
      </c>
      <c r="C336" t="s">
        <v>23</v>
      </c>
      <c r="D336" t="s">
        <v>17</v>
      </c>
      <c r="E336" t="s">
        <v>18</v>
      </c>
      <c r="F336" t="s">
        <v>34</v>
      </c>
      <c r="G336">
        <v>1129</v>
      </c>
      <c r="H336">
        <v>155</v>
      </c>
      <c r="I336">
        <v>54</v>
      </c>
      <c r="J336">
        <v>6</v>
      </c>
      <c r="K336">
        <v>3315</v>
      </c>
      <c r="L336">
        <v>4.7829937998228524E-2</v>
      </c>
      <c r="M336">
        <v>0.13728963684676704</v>
      </c>
      <c r="N336">
        <v>0.1111111111111111</v>
      </c>
      <c r="O336">
        <v>552.5</v>
      </c>
    </row>
    <row r="337" spans="1:15">
      <c r="A337">
        <v>46110</v>
      </c>
      <c r="B337" t="s">
        <v>48</v>
      </c>
      <c r="C337" t="s">
        <v>20</v>
      </c>
      <c r="D337" t="s">
        <v>32</v>
      </c>
      <c r="E337" t="s">
        <v>26</v>
      </c>
      <c r="F337" t="s">
        <v>22</v>
      </c>
      <c r="G337">
        <v>1488</v>
      </c>
      <c r="H337">
        <v>227</v>
      </c>
      <c r="I337">
        <v>41</v>
      </c>
      <c r="J337">
        <v>2</v>
      </c>
      <c r="K337">
        <v>999</v>
      </c>
      <c r="L337">
        <v>2.7553763440860215E-2</v>
      </c>
      <c r="M337">
        <v>0.15255376344086022</v>
      </c>
      <c r="N337">
        <v>4.878048780487805E-2</v>
      </c>
      <c r="O337">
        <v>499.5</v>
      </c>
    </row>
    <row r="338" spans="1:15">
      <c r="A338">
        <v>46110</v>
      </c>
      <c r="B338" t="s">
        <v>48</v>
      </c>
      <c r="C338" t="s">
        <v>31</v>
      </c>
      <c r="D338" t="s">
        <v>35</v>
      </c>
      <c r="E338" t="s">
        <v>27</v>
      </c>
      <c r="F338" t="s">
        <v>30</v>
      </c>
      <c r="G338">
        <v>5068</v>
      </c>
      <c r="H338">
        <v>99</v>
      </c>
      <c r="I338">
        <v>99</v>
      </c>
      <c r="J338">
        <v>2</v>
      </c>
      <c r="K338">
        <v>1407</v>
      </c>
      <c r="L338">
        <v>1.9534333070244672E-2</v>
      </c>
      <c r="M338">
        <v>1.9534333070244672E-2</v>
      </c>
      <c r="N338">
        <v>2.0202020202020204E-2</v>
      </c>
      <c r="O338">
        <v>703.5</v>
      </c>
    </row>
    <row r="339" spans="1:15">
      <c r="A339">
        <v>46111</v>
      </c>
      <c r="B339" t="s">
        <v>48</v>
      </c>
      <c r="C339" t="s">
        <v>33</v>
      </c>
      <c r="D339" t="s">
        <v>25</v>
      </c>
      <c r="E339" t="s">
        <v>27</v>
      </c>
      <c r="F339" t="s">
        <v>22</v>
      </c>
      <c r="G339">
        <v>3304</v>
      </c>
      <c r="H339">
        <v>82</v>
      </c>
      <c r="I339">
        <v>21</v>
      </c>
      <c r="J339">
        <v>1</v>
      </c>
      <c r="K339">
        <v>476</v>
      </c>
      <c r="L339">
        <v>6.3559322033898309E-3</v>
      </c>
      <c r="M339">
        <v>2.4818401937046004E-2</v>
      </c>
      <c r="N339">
        <v>4.7619047619047616E-2</v>
      </c>
      <c r="O339">
        <v>476</v>
      </c>
    </row>
    <row r="340" spans="1:15">
      <c r="A340">
        <v>46111</v>
      </c>
      <c r="B340" t="s">
        <v>48</v>
      </c>
      <c r="C340" t="s">
        <v>24</v>
      </c>
      <c r="D340" t="s">
        <v>25</v>
      </c>
      <c r="E340" t="s">
        <v>27</v>
      </c>
      <c r="F340" t="s">
        <v>30</v>
      </c>
      <c r="G340">
        <v>4220</v>
      </c>
      <c r="H340">
        <v>92</v>
      </c>
      <c r="I340">
        <v>58</v>
      </c>
      <c r="J340">
        <v>1</v>
      </c>
      <c r="K340">
        <v>1137</v>
      </c>
      <c r="L340">
        <v>1.3744075829383886E-2</v>
      </c>
      <c r="M340">
        <v>2.1800947867298578E-2</v>
      </c>
      <c r="N340">
        <v>1.7241379310344827E-2</v>
      </c>
      <c r="O340">
        <v>1137</v>
      </c>
    </row>
    <row r="341" spans="1:15">
      <c r="A341">
        <v>46111</v>
      </c>
      <c r="B341" t="s">
        <v>48</v>
      </c>
      <c r="C341" t="s">
        <v>20</v>
      </c>
      <c r="D341" t="s">
        <v>25</v>
      </c>
      <c r="E341" t="s">
        <v>18</v>
      </c>
      <c r="F341" t="s">
        <v>19</v>
      </c>
      <c r="G341">
        <v>921</v>
      </c>
      <c r="H341">
        <v>176</v>
      </c>
      <c r="I341">
        <v>80</v>
      </c>
      <c r="J341">
        <v>4</v>
      </c>
      <c r="K341">
        <v>628</v>
      </c>
      <c r="L341">
        <v>8.6862106406080344E-2</v>
      </c>
      <c r="M341">
        <v>0.19109663409337677</v>
      </c>
      <c r="N341">
        <v>0.05</v>
      </c>
      <c r="O341">
        <v>157</v>
      </c>
    </row>
    <row r="342" spans="1:15">
      <c r="A342">
        <v>46111</v>
      </c>
      <c r="B342" t="s">
        <v>48</v>
      </c>
      <c r="C342" t="s">
        <v>31</v>
      </c>
      <c r="D342" t="s">
        <v>17</v>
      </c>
      <c r="E342" t="s">
        <v>26</v>
      </c>
      <c r="F342" t="s">
        <v>30</v>
      </c>
      <c r="G342">
        <v>2962</v>
      </c>
      <c r="H342">
        <v>41</v>
      </c>
      <c r="I342">
        <v>128</v>
      </c>
      <c r="J342">
        <v>2</v>
      </c>
      <c r="K342">
        <v>1242</v>
      </c>
      <c r="L342">
        <v>4.321404456448346E-2</v>
      </c>
      <c r="M342">
        <v>1.3841998649561107E-2</v>
      </c>
      <c r="N342">
        <v>1.5625E-2</v>
      </c>
      <c r="O342">
        <v>621</v>
      </c>
    </row>
    <row r="343" spans="1:15">
      <c r="A343">
        <v>46112</v>
      </c>
      <c r="B343" t="s">
        <v>48</v>
      </c>
      <c r="C343" t="s">
        <v>24</v>
      </c>
      <c r="D343" t="s">
        <v>25</v>
      </c>
      <c r="E343" t="s">
        <v>18</v>
      </c>
      <c r="F343" t="s">
        <v>19</v>
      </c>
      <c r="G343">
        <v>2777</v>
      </c>
      <c r="H343">
        <v>69</v>
      </c>
      <c r="I343">
        <v>68</v>
      </c>
      <c r="J343">
        <v>1</v>
      </c>
      <c r="K343">
        <v>1998</v>
      </c>
      <c r="L343">
        <v>2.4486856319769535E-2</v>
      </c>
      <c r="M343">
        <v>2.484695714800144E-2</v>
      </c>
      <c r="N343">
        <v>1.4705882352941176E-2</v>
      </c>
      <c r="O343">
        <v>1998</v>
      </c>
    </row>
    <row r="344" spans="1:15">
      <c r="A344">
        <v>46112</v>
      </c>
      <c r="B344" t="s">
        <v>48</v>
      </c>
      <c r="C344" t="s">
        <v>20</v>
      </c>
      <c r="D344" t="s">
        <v>25</v>
      </c>
      <c r="E344" t="s">
        <v>29</v>
      </c>
      <c r="F344" t="s">
        <v>30</v>
      </c>
      <c r="G344">
        <v>728</v>
      </c>
      <c r="H344">
        <v>148</v>
      </c>
      <c r="I344">
        <v>48</v>
      </c>
      <c r="J344">
        <v>3</v>
      </c>
      <c r="K344">
        <v>1123</v>
      </c>
      <c r="L344">
        <v>6.5934065934065936E-2</v>
      </c>
      <c r="M344">
        <v>0.2032967032967033</v>
      </c>
      <c r="N344">
        <v>6.25E-2</v>
      </c>
      <c r="O344">
        <v>374.33333333333331</v>
      </c>
    </row>
    <row r="345" spans="1:15">
      <c r="A345">
        <v>46112</v>
      </c>
      <c r="B345" t="s">
        <v>48</v>
      </c>
      <c r="C345" t="s">
        <v>23</v>
      </c>
      <c r="D345" t="s">
        <v>25</v>
      </c>
      <c r="E345" t="s">
        <v>27</v>
      </c>
      <c r="F345" t="s">
        <v>19</v>
      </c>
      <c r="G345">
        <v>1126</v>
      </c>
      <c r="H345">
        <v>100</v>
      </c>
      <c r="I345">
        <v>42</v>
      </c>
      <c r="J345">
        <v>3</v>
      </c>
      <c r="K345">
        <v>3338</v>
      </c>
      <c r="L345">
        <v>3.7300177619893425E-2</v>
      </c>
      <c r="M345">
        <v>8.8809946714031973E-2</v>
      </c>
      <c r="N345">
        <v>7.1428571428571425E-2</v>
      </c>
      <c r="O345">
        <v>1112.6666666666667</v>
      </c>
    </row>
    <row r="346" spans="1:15">
      <c r="A346">
        <v>46112</v>
      </c>
      <c r="B346" t="s">
        <v>48</v>
      </c>
      <c r="C346" t="s">
        <v>31</v>
      </c>
      <c r="D346" t="s">
        <v>25</v>
      </c>
      <c r="E346" t="s">
        <v>18</v>
      </c>
      <c r="F346" t="s">
        <v>28</v>
      </c>
      <c r="G346">
        <v>8689</v>
      </c>
      <c r="H346">
        <v>142</v>
      </c>
      <c r="I346">
        <v>139</v>
      </c>
      <c r="J346">
        <v>1</v>
      </c>
      <c r="L346">
        <v>1.5997237886983543E-2</v>
      </c>
      <c r="M346">
        <v>1.6342502014040743E-2</v>
      </c>
      <c r="N346">
        <v>7.1942446043165471E-3</v>
      </c>
    </row>
  </sheetData>
  <conditionalFormatting sqref="L2:L346">
    <cfRule type="dataBar" priority="1">
      <dataBar>
        <cfvo type="min"/>
        <cfvo type="max"/>
        <color rgb="FF22C55E"/>
      </dataBar>
    </cfRule>
    <cfRule type="dataBar" priority="4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{F7E993C9-17C8-83F9-A8AB-0A53BC562EB3}</x14:id>
        </ext>
      </extLst>
    </cfRule>
  </conditionalFormatting>
  <conditionalFormatting sqref="N2:N346">
    <cfRule type="dataBar" priority="2">
      <dataBar>
        <cfvo type="min"/>
        <cfvo type="max"/>
        <color rgb="FF0EA5E9"/>
      </dataBar>
    </cfRule>
    <cfRule type="dataBar" priority="5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{F07D758F-BB2B-36FB-9437-2A31AA63AA22}</x14:id>
        </ext>
      </extLst>
    </cfRule>
  </conditionalFormatting>
  <conditionalFormatting sqref="O2:O346"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E993C9-17C8-83F9-A8AB-0A53BC562EB3}">
            <x14:dataBar>
              <x14:cfvo type="min"/>
              <x14:cfvo type="max"/>
              <x14:negativeFillColor auto="1"/>
              <x14:axisColor auto="1"/>
            </x14:dataBar>
          </x14:cfRule>
          <xm:sqref>L2:L346</xm:sqref>
        </x14:conditionalFormatting>
        <x14:conditionalFormatting xmlns:xm="http://schemas.microsoft.com/office/excel/2006/main">
          <x14:cfRule type="dataBar" id="{F07D758F-BB2B-36FB-9437-2A31AA63AA22}">
            <x14:dataBar>
              <x14:cfvo type="min"/>
              <x14:cfvo type="max"/>
              <x14:negativeFillColor auto="1"/>
              <x14:axisColor auto="1"/>
            </x14:dataBar>
          </x14:cfRule>
          <xm:sqref>N2:N346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ColWidth="8.8125" defaultRowHeight="13.5"/>
  <cols>
    <col min="1" max="1" width="20.6875" customWidth="1"/>
    <col min="2" max="2" width="22.5" customWidth="1"/>
    <col min="3" max="3" width="20" customWidth="1"/>
    <col min="4" max="4" width="22.6875" customWidth="1"/>
    <col min="5" max="5" width="13.8125" customWidth="1"/>
    <col min="6" max="6" width="17.8125" customWidth="1"/>
    <col min="7" max="8" width="35" customWidth="1"/>
    <col min="9" max="9" width="8.6875" customWidth="1"/>
  </cols>
  <sheetData>
    <row r="1" spans="1:9" ht="13.9">
      <c r="A1" s="6" t="s">
        <v>3</v>
      </c>
      <c r="B1" s="6" t="s">
        <v>49</v>
      </c>
      <c r="C1" s="7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</row>
    <row r="2" spans="1:9">
      <c r="A2" t="s">
        <v>17</v>
      </c>
      <c r="B2">
        <v>18500</v>
      </c>
      <c r="C2">
        <v>0.62</v>
      </c>
      <c r="D2">
        <v>3.8</v>
      </c>
      <c r="E2">
        <v>4.0999999999999996</v>
      </c>
      <c r="F2" t="s">
        <v>57</v>
      </c>
      <c r="G2" t="s">
        <v>58</v>
      </c>
      <c r="H2" t="s">
        <v>59</v>
      </c>
      <c r="I2" t="s">
        <v>60</v>
      </c>
    </row>
    <row r="3" spans="1:9">
      <c r="A3" t="s">
        <v>25</v>
      </c>
      <c r="B3">
        <v>240000</v>
      </c>
      <c r="C3">
        <v>0.31</v>
      </c>
      <c r="D3">
        <v>2.9</v>
      </c>
      <c r="E3">
        <v>3.2</v>
      </c>
      <c r="F3" t="s">
        <v>61</v>
      </c>
      <c r="G3" t="s">
        <v>62</v>
      </c>
      <c r="H3" t="s">
        <v>63</v>
      </c>
      <c r="I3" t="s">
        <v>60</v>
      </c>
    </row>
    <row r="4" spans="1:9">
      <c r="A4" t="s">
        <v>21</v>
      </c>
      <c r="B4">
        <v>4200</v>
      </c>
      <c r="C4">
        <v>0.48</v>
      </c>
      <c r="D4">
        <v>3.5</v>
      </c>
      <c r="E4">
        <v>4</v>
      </c>
      <c r="F4" t="s">
        <v>64</v>
      </c>
      <c r="G4" t="s">
        <v>65</v>
      </c>
      <c r="H4" t="s">
        <v>66</v>
      </c>
      <c r="I4" t="s">
        <v>67</v>
      </c>
    </row>
    <row r="5" spans="1:9">
      <c r="A5" t="s">
        <v>35</v>
      </c>
      <c r="B5">
        <v>1600</v>
      </c>
      <c r="C5">
        <v>0.27</v>
      </c>
      <c r="D5">
        <v>2.7</v>
      </c>
      <c r="E5">
        <v>3.8</v>
      </c>
      <c r="F5" t="s">
        <v>68</v>
      </c>
      <c r="G5" t="s">
        <v>69</v>
      </c>
      <c r="H5" t="s">
        <v>70</v>
      </c>
      <c r="I5" t="s">
        <v>60</v>
      </c>
    </row>
    <row r="6" spans="1:9">
      <c r="A6" t="s">
        <v>32</v>
      </c>
      <c r="B6">
        <v>850</v>
      </c>
      <c r="C6">
        <v>0.22</v>
      </c>
      <c r="D6">
        <v>2.5</v>
      </c>
      <c r="E6">
        <v>3.4</v>
      </c>
      <c r="F6" t="s">
        <v>71</v>
      </c>
      <c r="G6" t="s">
        <v>72</v>
      </c>
      <c r="H6" t="s">
        <v>73</v>
      </c>
      <c r="I6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ColWidth="8.8125" defaultRowHeight="13.5"/>
  <cols>
    <col min="1" max="1" width="45" customWidth="1"/>
    <col min="2" max="2" width="28.1875" customWidth="1"/>
    <col min="3" max="3" width="11.1875" customWidth="1"/>
    <col min="4" max="4" width="15.5" customWidth="1"/>
  </cols>
  <sheetData>
    <row r="1" spans="1:4" ht="13.9">
      <c r="A1" s="6" t="s">
        <v>74</v>
      </c>
      <c r="B1" s="6" t="s">
        <v>75</v>
      </c>
      <c r="C1" s="6" t="s">
        <v>76</v>
      </c>
      <c r="D1" s="8" t="s">
        <v>77</v>
      </c>
    </row>
    <row r="2" spans="1:4">
      <c r="A2" t="s">
        <v>78</v>
      </c>
      <c r="B2" t="s">
        <v>79</v>
      </c>
      <c r="C2">
        <v>418</v>
      </c>
      <c r="D2">
        <v>0.34833333333333333</v>
      </c>
    </row>
    <row r="3" spans="1:4">
      <c r="A3" t="s">
        <v>78</v>
      </c>
      <c r="B3" t="s">
        <v>80</v>
      </c>
      <c r="C3">
        <v>612</v>
      </c>
      <c r="D3">
        <v>0.51</v>
      </c>
    </row>
    <row r="4" spans="1:4">
      <c r="A4" t="s">
        <v>78</v>
      </c>
      <c r="B4" t="s">
        <v>81</v>
      </c>
      <c r="C4">
        <v>170</v>
      </c>
      <c r="D4">
        <v>0.14166666666666666</v>
      </c>
    </row>
    <row r="5" spans="1:4">
      <c r="A5" t="s">
        <v>82</v>
      </c>
      <c r="B5" t="s">
        <v>83</v>
      </c>
      <c r="C5">
        <v>145</v>
      </c>
      <c r="D5">
        <v>0.12083333333333333</v>
      </c>
    </row>
    <row r="6" spans="1:4">
      <c r="A6" t="s">
        <v>82</v>
      </c>
      <c r="B6" t="s">
        <v>84</v>
      </c>
      <c r="C6">
        <v>402</v>
      </c>
      <c r="D6">
        <v>0.33500000000000002</v>
      </c>
    </row>
    <row r="7" spans="1:4">
      <c r="A7" t="s">
        <v>82</v>
      </c>
      <c r="B7" t="s">
        <v>85</v>
      </c>
      <c r="C7">
        <v>260</v>
      </c>
      <c r="D7">
        <v>0.21666666666666667</v>
      </c>
    </row>
    <row r="8" spans="1:4">
      <c r="A8" t="s">
        <v>82</v>
      </c>
      <c r="B8" t="s">
        <v>86</v>
      </c>
      <c r="C8">
        <v>285</v>
      </c>
      <c r="D8">
        <v>0.23749999999999999</v>
      </c>
    </row>
    <row r="9" spans="1:4">
      <c r="A9" t="s">
        <v>82</v>
      </c>
      <c r="B9" t="s">
        <v>87</v>
      </c>
      <c r="C9">
        <v>108</v>
      </c>
      <c r="D9">
        <v>0.09</v>
      </c>
    </row>
    <row r="10" spans="1:4">
      <c r="A10" t="s">
        <v>88</v>
      </c>
      <c r="B10" t="s">
        <v>31</v>
      </c>
      <c r="C10">
        <v>326</v>
      </c>
      <c r="D10">
        <v>0.27166666666666667</v>
      </c>
    </row>
    <row r="11" spans="1:4">
      <c r="A11" t="s">
        <v>88</v>
      </c>
      <c r="B11" t="s">
        <v>16</v>
      </c>
      <c r="C11">
        <v>235</v>
      </c>
      <c r="D11">
        <v>0.19583333333333333</v>
      </c>
    </row>
    <row r="12" spans="1:4">
      <c r="A12" t="s">
        <v>88</v>
      </c>
      <c r="B12" t="s">
        <v>20</v>
      </c>
      <c r="C12">
        <v>210</v>
      </c>
      <c r="D12">
        <v>0.17499999999999999</v>
      </c>
    </row>
    <row r="13" spans="1:4">
      <c r="A13" t="s">
        <v>88</v>
      </c>
      <c r="B13" t="s">
        <v>24</v>
      </c>
      <c r="C13">
        <v>156</v>
      </c>
      <c r="D13">
        <v>0.13</v>
      </c>
    </row>
    <row r="14" spans="1:4">
      <c r="A14" t="s">
        <v>88</v>
      </c>
      <c r="B14" t="s">
        <v>23</v>
      </c>
      <c r="C14">
        <v>112</v>
      </c>
      <c r="D14">
        <v>9.3333333333333338E-2</v>
      </c>
    </row>
    <row r="15" spans="1:4">
      <c r="A15" t="s">
        <v>88</v>
      </c>
      <c r="B15" t="s">
        <v>89</v>
      </c>
      <c r="C15">
        <v>91</v>
      </c>
      <c r="D15">
        <v>7.5833333333333336E-2</v>
      </c>
    </row>
    <row r="16" spans="1:4">
      <c r="A16" t="s">
        <v>88</v>
      </c>
      <c r="B16" t="s">
        <v>90</v>
      </c>
      <c r="C16">
        <v>70</v>
      </c>
      <c r="D16">
        <v>5.8333333333333334E-2</v>
      </c>
    </row>
    <row r="17" spans="1:4">
      <c r="A17" t="s">
        <v>91</v>
      </c>
      <c r="B17" t="s">
        <v>92</v>
      </c>
      <c r="C17">
        <v>342</v>
      </c>
      <c r="D17">
        <v>0.28499999999999998</v>
      </c>
    </row>
    <row r="18" spans="1:4">
      <c r="A18" t="s">
        <v>91</v>
      </c>
      <c r="B18" t="s">
        <v>93</v>
      </c>
      <c r="C18">
        <v>298</v>
      </c>
      <c r="D18">
        <v>0.24833333333333332</v>
      </c>
    </row>
    <row r="19" spans="1:4">
      <c r="A19" t="s">
        <v>91</v>
      </c>
      <c r="B19" t="s">
        <v>94</v>
      </c>
      <c r="C19">
        <v>165</v>
      </c>
      <c r="D19">
        <v>0.13750000000000001</v>
      </c>
    </row>
    <row r="20" spans="1:4">
      <c r="A20" t="s">
        <v>91</v>
      </c>
      <c r="B20" t="s">
        <v>95</v>
      </c>
      <c r="C20">
        <v>132</v>
      </c>
      <c r="D20">
        <v>0.11</v>
      </c>
    </row>
    <row r="21" spans="1:4">
      <c r="A21" t="s">
        <v>91</v>
      </c>
      <c r="B21" t="s">
        <v>96</v>
      </c>
      <c r="C21">
        <v>263</v>
      </c>
      <c r="D21">
        <v>0.21916666666666668</v>
      </c>
    </row>
    <row r="22" spans="1:4">
      <c r="A22" t="s">
        <v>97</v>
      </c>
      <c r="B22" t="s">
        <v>98</v>
      </c>
      <c r="C22">
        <v>128</v>
      </c>
      <c r="D22">
        <v>0.10666666666666667</v>
      </c>
    </row>
    <row r="23" spans="1:4">
      <c r="A23" t="s">
        <v>97</v>
      </c>
      <c r="B23" t="s">
        <v>99</v>
      </c>
      <c r="C23">
        <v>306</v>
      </c>
      <c r="D23">
        <v>0.255</v>
      </c>
    </row>
    <row r="24" spans="1:4">
      <c r="A24" t="s">
        <v>97</v>
      </c>
      <c r="B24" t="s">
        <v>85</v>
      </c>
      <c r="C24">
        <v>338</v>
      </c>
      <c r="D24">
        <v>0.28166666666666668</v>
      </c>
    </row>
    <row r="25" spans="1:4">
      <c r="A25" t="s">
        <v>97</v>
      </c>
      <c r="B25" t="s">
        <v>100</v>
      </c>
      <c r="C25">
        <v>289</v>
      </c>
      <c r="D25">
        <v>0.24083333333333334</v>
      </c>
    </row>
    <row r="26" spans="1:4">
      <c r="A26" t="s">
        <v>97</v>
      </c>
      <c r="B26" t="s">
        <v>101</v>
      </c>
      <c r="C26">
        <v>139</v>
      </c>
      <c r="D26">
        <v>0.11583333333333333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1"/>
  <sheetViews>
    <sheetView topLeftCell="D1" workbookViewId="0"/>
  </sheetViews>
  <sheetFormatPr defaultColWidth="8.8125" defaultRowHeight="13.5"/>
  <cols>
    <col min="1" max="1" width="6.5" customWidth="1"/>
    <col min="2" max="2" width="11" customWidth="1"/>
    <col min="3" max="3" width="20.6875" customWidth="1"/>
    <col min="4" max="4" width="16" customWidth="1"/>
    <col min="5" max="5" width="11" customWidth="1"/>
    <col min="6" max="7" width="35" customWidth="1"/>
  </cols>
  <sheetData>
    <row r="1" spans="1:7" ht="13.9">
      <c r="A1" s="9" t="s">
        <v>0</v>
      </c>
      <c r="B1" s="6" t="s">
        <v>102</v>
      </c>
      <c r="C1" s="6" t="s">
        <v>3</v>
      </c>
      <c r="D1" s="6" t="s">
        <v>103</v>
      </c>
      <c r="E1" s="6" t="s">
        <v>104</v>
      </c>
      <c r="F1" s="6" t="s">
        <v>105</v>
      </c>
      <c r="G1" s="6" t="s">
        <v>106</v>
      </c>
    </row>
    <row r="2" spans="1:7">
      <c r="A2">
        <v>46075</v>
      </c>
      <c r="B2" t="s">
        <v>31</v>
      </c>
      <c r="C2" t="s">
        <v>17</v>
      </c>
      <c r="D2" t="s">
        <v>107</v>
      </c>
      <c r="E2" t="s">
        <v>85</v>
      </c>
      <c r="F2" t="s">
        <v>108</v>
      </c>
      <c r="G2" t="s">
        <v>109</v>
      </c>
    </row>
    <row r="3" spans="1:7">
      <c r="A3">
        <v>46105</v>
      </c>
      <c r="B3" t="s">
        <v>110</v>
      </c>
      <c r="C3" t="s">
        <v>25</v>
      </c>
      <c r="D3" t="s">
        <v>111</v>
      </c>
      <c r="E3" t="s">
        <v>112</v>
      </c>
      <c r="F3" t="s">
        <v>113</v>
      </c>
      <c r="G3" t="s">
        <v>114</v>
      </c>
    </row>
    <row r="4" spans="1:7">
      <c r="A4">
        <v>46077</v>
      </c>
      <c r="B4" t="s">
        <v>23</v>
      </c>
      <c r="C4" t="s">
        <v>21</v>
      </c>
      <c r="D4" t="s">
        <v>115</v>
      </c>
      <c r="E4" t="s">
        <v>116</v>
      </c>
      <c r="F4" t="s">
        <v>117</v>
      </c>
      <c r="G4" t="s">
        <v>118</v>
      </c>
    </row>
    <row r="5" spans="1:7">
      <c r="A5">
        <v>46111</v>
      </c>
      <c r="B5" t="s">
        <v>119</v>
      </c>
      <c r="C5" t="s">
        <v>25</v>
      </c>
      <c r="D5" t="s">
        <v>120</v>
      </c>
      <c r="E5" t="s">
        <v>116</v>
      </c>
      <c r="F5" t="s">
        <v>121</v>
      </c>
      <c r="G5" t="s">
        <v>122</v>
      </c>
    </row>
    <row r="6" spans="1:7">
      <c r="A6">
        <v>46057</v>
      </c>
      <c r="B6" t="s">
        <v>123</v>
      </c>
      <c r="C6" t="s">
        <v>17</v>
      </c>
      <c r="D6" t="s">
        <v>111</v>
      </c>
      <c r="E6" t="s">
        <v>112</v>
      </c>
      <c r="F6" t="s">
        <v>113</v>
      </c>
      <c r="G6" t="s">
        <v>114</v>
      </c>
    </row>
    <row r="7" spans="1:7">
      <c r="A7">
        <v>46060</v>
      </c>
      <c r="B7" t="s">
        <v>110</v>
      </c>
      <c r="C7" t="s">
        <v>25</v>
      </c>
      <c r="D7" t="s">
        <v>124</v>
      </c>
      <c r="E7" t="s">
        <v>85</v>
      </c>
      <c r="F7" t="s">
        <v>125</v>
      </c>
      <c r="G7" t="s">
        <v>126</v>
      </c>
    </row>
    <row r="8" spans="1:7">
      <c r="A8">
        <v>46085</v>
      </c>
      <c r="B8" t="s">
        <v>24</v>
      </c>
      <c r="C8" t="s">
        <v>32</v>
      </c>
      <c r="D8" t="s">
        <v>124</v>
      </c>
      <c r="E8" t="s">
        <v>112</v>
      </c>
      <c r="F8" t="s">
        <v>127</v>
      </c>
      <c r="G8" t="s">
        <v>126</v>
      </c>
    </row>
    <row r="9" spans="1:7">
      <c r="A9">
        <v>46046</v>
      </c>
      <c r="B9" t="s">
        <v>31</v>
      </c>
      <c r="C9" t="s">
        <v>21</v>
      </c>
      <c r="D9" t="s">
        <v>128</v>
      </c>
      <c r="E9" t="s">
        <v>85</v>
      </c>
      <c r="F9" t="s">
        <v>129</v>
      </c>
      <c r="G9" t="s">
        <v>130</v>
      </c>
    </row>
    <row r="10" spans="1:7">
      <c r="A10">
        <v>46024</v>
      </c>
      <c r="B10" t="s">
        <v>110</v>
      </c>
      <c r="C10" t="s">
        <v>25</v>
      </c>
      <c r="D10" t="s">
        <v>124</v>
      </c>
      <c r="E10" t="s">
        <v>85</v>
      </c>
      <c r="F10" t="s">
        <v>131</v>
      </c>
      <c r="G10" t="s">
        <v>126</v>
      </c>
    </row>
    <row r="11" spans="1:7">
      <c r="A11">
        <v>46062</v>
      </c>
      <c r="B11" t="s">
        <v>110</v>
      </c>
      <c r="C11" t="s">
        <v>32</v>
      </c>
      <c r="D11" t="s">
        <v>120</v>
      </c>
      <c r="E11" t="s">
        <v>116</v>
      </c>
      <c r="F11" t="s">
        <v>132</v>
      </c>
      <c r="G11" t="s">
        <v>122</v>
      </c>
    </row>
    <row r="12" spans="1:7">
      <c r="A12">
        <v>46112</v>
      </c>
      <c r="B12" t="s">
        <v>119</v>
      </c>
      <c r="C12" t="s">
        <v>17</v>
      </c>
      <c r="D12" t="s">
        <v>120</v>
      </c>
      <c r="E12" t="s">
        <v>116</v>
      </c>
      <c r="F12" t="s">
        <v>133</v>
      </c>
      <c r="G12" t="s">
        <v>122</v>
      </c>
    </row>
    <row r="13" spans="1:7">
      <c r="A13">
        <v>46030</v>
      </c>
      <c r="B13" t="s">
        <v>110</v>
      </c>
      <c r="C13" t="s">
        <v>17</v>
      </c>
      <c r="D13" t="s">
        <v>134</v>
      </c>
      <c r="E13" t="s">
        <v>116</v>
      </c>
      <c r="F13" t="s">
        <v>135</v>
      </c>
      <c r="G13" t="s">
        <v>136</v>
      </c>
    </row>
    <row r="14" spans="1:7">
      <c r="A14">
        <v>46046</v>
      </c>
      <c r="B14" t="s">
        <v>123</v>
      </c>
      <c r="C14" t="s">
        <v>25</v>
      </c>
      <c r="D14" t="s">
        <v>124</v>
      </c>
      <c r="E14" t="s">
        <v>116</v>
      </c>
      <c r="F14" t="s">
        <v>127</v>
      </c>
      <c r="G14" t="s">
        <v>126</v>
      </c>
    </row>
    <row r="15" spans="1:7">
      <c r="A15">
        <v>46038</v>
      </c>
      <c r="B15" t="s">
        <v>110</v>
      </c>
      <c r="C15" t="s">
        <v>21</v>
      </c>
      <c r="D15" t="s">
        <v>128</v>
      </c>
      <c r="E15" t="s">
        <v>85</v>
      </c>
      <c r="F15" t="s">
        <v>137</v>
      </c>
      <c r="G15" t="s">
        <v>130</v>
      </c>
    </row>
    <row r="16" spans="1:7">
      <c r="A16">
        <v>46054</v>
      </c>
      <c r="B16" t="s">
        <v>24</v>
      </c>
      <c r="C16" t="s">
        <v>25</v>
      </c>
      <c r="D16" t="s">
        <v>120</v>
      </c>
      <c r="E16" t="s">
        <v>116</v>
      </c>
      <c r="F16" t="s">
        <v>121</v>
      </c>
      <c r="G16" t="s">
        <v>122</v>
      </c>
    </row>
    <row r="17" spans="1:7">
      <c r="A17">
        <v>46035</v>
      </c>
      <c r="B17" t="s">
        <v>31</v>
      </c>
      <c r="C17" t="s">
        <v>25</v>
      </c>
      <c r="D17" t="s">
        <v>115</v>
      </c>
      <c r="E17" t="s">
        <v>116</v>
      </c>
      <c r="F17" t="s">
        <v>117</v>
      </c>
      <c r="G17" t="s">
        <v>118</v>
      </c>
    </row>
    <row r="18" spans="1:7">
      <c r="A18">
        <v>46062</v>
      </c>
      <c r="B18" t="s">
        <v>138</v>
      </c>
      <c r="C18" t="s">
        <v>17</v>
      </c>
      <c r="D18" t="s">
        <v>107</v>
      </c>
      <c r="E18" t="s">
        <v>85</v>
      </c>
      <c r="F18" t="s">
        <v>108</v>
      </c>
      <c r="G18" t="s">
        <v>109</v>
      </c>
    </row>
    <row r="19" spans="1:7">
      <c r="A19">
        <v>46089</v>
      </c>
      <c r="B19" t="s">
        <v>119</v>
      </c>
      <c r="C19" t="s">
        <v>25</v>
      </c>
      <c r="D19" t="s">
        <v>124</v>
      </c>
      <c r="E19" t="s">
        <v>85</v>
      </c>
      <c r="F19" t="s">
        <v>127</v>
      </c>
      <c r="G19" t="s">
        <v>126</v>
      </c>
    </row>
    <row r="20" spans="1:7">
      <c r="A20">
        <v>46108</v>
      </c>
      <c r="B20" t="s">
        <v>138</v>
      </c>
      <c r="C20" t="s">
        <v>25</v>
      </c>
      <c r="D20" t="s">
        <v>124</v>
      </c>
      <c r="E20" t="s">
        <v>112</v>
      </c>
      <c r="F20" t="s">
        <v>127</v>
      </c>
      <c r="G20" t="s">
        <v>126</v>
      </c>
    </row>
    <row r="21" spans="1:7">
      <c r="A21">
        <v>46044</v>
      </c>
      <c r="B21" t="s">
        <v>23</v>
      </c>
      <c r="C21" t="s">
        <v>17</v>
      </c>
      <c r="D21" t="s">
        <v>120</v>
      </c>
      <c r="E21" t="s">
        <v>116</v>
      </c>
      <c r="F21" t="s">
        <v>133</v>
      </c>
      <c r="G21" t="s">
        <v>122</v>
      </c>
    </row>
    <row r="22" spans="1:7">
      <c r="A22">
        <v>46024</v>
      </c>
      <c r="B22" t="s">
        <v>138</v>
      </c>
      <c r="C22" t="s">
        <v>25</v>
      </c>
      <c r="D22" t="s">
        <v>128</v>
      </c>
      <c r="E22" t="s">
        <v>85</v>
      </c>
      <c r="F22" t="s">
        <v>129</v>
      </c>
      <c r="G22" t="s">
        <v>130</v>
      </c>
    </row>
    <row r="23" spans="1:7">
      <c r="A23">
        <v>46042</v>
      </c>
      <c r="B23" t="s">
        <v>24</v>
      </c>
      <c r="C23" t="s">
        <v>25</v>
      </c>
      <c r="D23" t="s">
        <v>111</v>
      </c>
      <c r="E23" t="s">
        <v>112</v>
      </c>
      <c r="F23" t="s">
        <v>139</v>
      </c>
      <c r="G23" t="s">
        <v>114</v>
      </c>
    </row>
    <row r="24" spans="1:7">
      <c r="A24">
        <v>46034</v>
      </c>
      <c r="B24" t="s">
        <v>119</v>
      </c>
      <c r="C24" t="s">
        <v>32</v>
      </c>
      <c r="D24" t="s">
        <v>120</v>
      </c>
      <c r="E24" t="s">
        <v>116</v>
      </c>
      <c r="F24" t="s">
        <v>121</v>
      </c>
      <c r="G24" t="s">
        <v>122</v>
      </c>
    </row>
    <row r="25" spans="1:7">
      <c r="A25">
        <v>46030</v>
      </c>
      <c r="B25" t="s">
        <v>138</v>
      </c>
      <c r="C25" t="s">
        <v>25</v>
      </c>
      <c r="D25" t="s">
        <v>124</v>
      </c>
      <c r="E25" t="s">
        <v>85</v>
      </c>
      <c r="F25" t="s">
        <v>127</v>
      </c>
      <c r="G25" t="s">
        <v>126</v>
      </c>
    </row>
    <row r="26" spans="1:7">
      <c r="A26">
        <v>46039</v>
      </c>
      <c r="B26" t="s">
        <v>119</v>
      </c>
      <c r="C26" t="s">
        <v>32</v>
      </c>
      <c r="D26" t="s">
        <v>115</v>
      </c>
      <c r="E26" t="s">
        <v>116</v>
      </c>
      <c r="F26" t="s">
        <v>117</v>
      </c>
      <c r="G26" t="s">
        <v>118</v>
      </c>
    </row>
    <row r="27" spans="1:7">
      <c r="A27">
        <v>46067</v>
      </c>
      <c r="B27" t="s">
        <v>110</v>
      </c>
      <c r="C27" t="s">
        <v>21</v>
      </c>
      <c r="D27" t="s">
        <v>120</v>
      </c>
      <c r="E27" t="s">
        <v>116</v>
      </c>
      <c r="F27" t="s">
        <v>133</v>
      </c>
      <c r="G27" t="s">
        <v>122</v>
      </c>
    </row>
    <row r="28" spans="1:7">
      <c r="A28">
        <v>46111</v>
      </c>
      <c r="B28" t="s">
        <v>138</v>
      </c>
      <c r="C28" t="s">
        <v>17</v>
      </c>
      <c r="D28" t="s">
        <v>111</v>
      </c>
      <c r="E28" t="s">
        <v>112</v>
      </c>
      <c r="F28" t="s">
        <v>113</v>
      </c>
      <c r="G28" t="s">
        <v>114</v>
      </c>
    </row>
    <row r="29" spans="1:7">
      <c r="A29">
        <v>46085</v>
      </c>
      <c r="B29" t="s">
        <v>23</v>
      </c>
      <c r="C29" t="s">
        <v>25</v>
      </c>
      <c r="D29" t="s">
        <v>120</v>
      </c>
      <c r="E29" t="s">
        <v>116</v>
      </c>
      <c r="F29" t="s">
        <v>121</v>
      </c>
      <c r="G29" t="s">
        <v>122</v>
      </c>
    </row>
    <row r="30" spans="1:7">
      <c r="A30">
        <v>46085</v>
      </c>
      <c r="B30" t="s">
        <v>119</v>
      </c>
      <c r="C30" t="s">
        <v>25</v>
      </c>
      <c r="D30" t="s">
        <v>124</v>
      </c>
      <c r="E30" t="s">
        <v>85</v>
      </c>
      <c r="F30" t="s">
        <v>131</v>
      </c>
      <c r="G30" t="s">
        <v>126</v>
      </c>
    </row>
    <row r="31" spans="1:7">
      <c r="A31">
        <v>46058</v>
      </c>
      <c r="B31" t="s">
        <v>123</v>
      </c>
      <c r="C31" t="s">
        <v>25</v>
      </c>
      <c r="D31" t="s">
        <v>107</v>
      </c>
      <c r="E31" t="s">
        <v>85</v>
      </c>
      <c r="F31" t="s">
        <v>140</v>
      </c>
      <c r="G31" t="s">
        <v>109</v>
      </c>
    </row>
    <row r="32" spans="1:7">
      <c r="A32">
        <v>46090</v>
      </c>
      <c r="B32" t="s">
        <v>119</v>
      </c>
      <c r="C32" t="s">
        <v>25</v>
      </c>
      <c r="D32" t="s">
        <v>124</v>
      </c>
      <c r="E32" t="s">
        <v>85</v>
      </c>
      <c r="F32" t="s">
        <v>131</v>
      </c>
      <c r="G32" t="s">
        <v>126</v>
      </c>
    </row>
    <row r="33" spans="1:7">
      <c r="A33">
        <v>46023</v>
      </c>
      <c r="B33" t="s">
        <v>23</v>
      </c>
      <c r="C33" t="s">
        <v>25</v>
      </c>
      <c r="D33" t="s">
        <v>120</v>
      </c>
      <c r="E33" t="s">
        <v>116</v>
      </c>
      <c r="F33" t="s">
        <v>133</v>
      </c>
      <c r="G33" t="s">
        <v>122</v>
      </c>
    </row>
    <row r="34" spans="1:7">
      <c r="A34">
        <v>46025</v>
      </c>
      <c r="B34" t="s">
        <v>119</v>
      </c>
      <c r="C34" t="s">
        <v>21</v>
      </c>
      <c r="D34" t="s">
        <v>115</v>
      </c>
      <c r="E34" t="s">
        <v>116</v>
      </c>
      <c r="F34" t="s">
        <v>141</v>
      </c>
      <c r="G34" t="s">
        <v>118</v>
      </c>
    </row>
    <row r="35" spans="1:7">
      <c r="A35">
        <v>46064</v>
      </c>
      <c r="B35" t="s">
        <v>138</v>
      </c>
      <c r="C35" t="s">
        <v>32</v>
      </c>
      <c r="D35" t="s">
        <v>120</v>
      </c>
      <c r="E35" t="s">
        <v>116</v>
      </c>
      <c r="F35" t="s">
        <v>132</v>
      </c>
      <c r="G35" t="s">
        <v>122</v>
      </c>
    </row>
    <row r="36" spans="1:7">
      <c r="A36">
        <v>46047</v>
      </c>
      <c r="B36" t="s">
        <v>110</v>
      </c>
      <c r="C36" t="s">
        <v>21</v>
      </c>
      <c r="D36" t="s">
        <v>115</v>
      </c>
      <c r="E36" t="s">
        <v>116</v>
      </c>
      <c r="F36" t="s">
        <v>141</v>
      </c>
      <c r="G36" t="s">
        <v>118</v>
      </c>
    </row>
    <row r="37" spans="1:7">
      <c r="A37">
        <v>46101</v>
      </c>
      <c r="B37" t="s">
        <v>110</v>
      </c>
      <c r="C37" t="s">
        <v>25</v>
      </c>
      <c r="D37" t="s">
        <v>134</v>
      </c>
      <c r="E37" t="s">
        <v>116</v>
      </c>
      <c r="F37" t="s">
        <v>142</v>
      </c>
      <c r="G37" t="s">
        <v>136</v>
      </c>
    </row>
    <row r="38" spans="1:7">
      <c r="A38">
        <v>46035</v>
      </c>
      <c r="B38" t="s">
        <v>24</v>
      </c>
      <c r="C38" t="s">
        <v>17</v>
      </c>
      <c r="D38" t="s">
        <v>115</v>
      </c>
      <c r="E38" t="s">
        <v>116</v>
      </c>
      <c r="F38" t="s">
        <v>141</v>
      </c>
      <c r="G38" t="s">
        <v>118</v>
      </c>
    </row>
    <row r="39" spans="1:7">
      <c r="A39">
        <v>46045</v>
      </c>
      <c r="B39" t="s">
        <v>110</v>
      </c>
      <c r="C39" t="s">
        <v>25</v>
      </c>
      <c r="D39" t="s">
        <v>107</v>
      </c>
      <c r="E39" t="s">
        <v>85</v>
      </c>
      <c r="F39" t="s">
        <v>140</v>
      </c>
      <c r="G39" t="s">
        <v>109</v>
      </c>
    </row>
    <row r="40" spans="1:7">
      <c r="A40">
        <v>46096</v>
      </c>
      <c r="B40" t="s">
        <v>110</v>
      </c>
      <c r="C40" t="s">
        <v>25</v>
      </c>
      <c r="D40" t="s">
        <v>115</v>
      </c>
      <c r="E40" t="s">
        <v>116</v>
      </c>
      <c r="F40" t="s">
        <v>117</v>
      </c>
      <c r="G40" t="s">
        <v>118</v>
      </c>
    </row>
    <row r="41" spans="1:7">
      <c r="A41">
        <v>46102</v>
      </c>
      <c r="B41" t="s">
        <v>119</v>
      </c>
      <c r="C41" t="s">
        <v>17</v>
      </c>
      <c r="D41" t="s">
        <v>120</v>
      </c>
      <c r="E41" t="s">
        <v>116</v>
      </c>
      <c r="F41" t="s">
        <v>133</v>
      </c>
      <c r="G41" t="s">
        <v>122</v>
      </c>
    </row>
    <row r="42" spans="1:7">
      <c r="A42">
        <v>46100</v>
      </c>
      <c r="B42" t="s">
        <v>24</v>
      </c>
      <c r="C42" t="s">
        <v>32</v>
      </c>
      <c r="D42" t="s">
        <v>120</v>
      </c>
      <c r="E42" t="s">
        <v>116</v>
      </c>
      <c r="F42" t="s">
        <v>133</v>
      </c>
      <c r="G42" t="s">
        <v>122</v>
      </c>
    </row>
    <row r="43" spans="1:7">
      <c r="A43">
        <v>46106</v>
      </c>
      <c r="B43" t="s">
        <v>123</v>
      </c>
      <c r="C43" t="s">
        <v>17</v>
      </c>
      <c r="D43" t="s">
        <v>115</v>
      </c>
      <c r="E43" t="s">
        <v>116</v>
      </c>
      <c r="F43" t="s">
        <v>117</v>
      </c>
      <c r="G43" t="s">
        <v>118</v>
      </c>
    </row>
    <row r="44" spans="1:7">
      <c r="A44">
        <v>46030</v>
      </c>
      <c r="B44" t="s">
        <v>138</v>
      </c>
      <c r="C44" t="s">
        <v>32</v>
      </c>
      <c r="D44" t="s">
        <v>111</v>
      </c>
      <c r="E44" t="s">
        <v>112</v>
      </c>
      <c r="F44" t="s">
        <v>139</v>
      </c>
      <c r="G44" t="s">
        <v>114</v>
      </c>
    </row>
    <row r="45" spans="1:7">
      <c r="A45">
        <v>46070</v>
      </c>
      <c r="B45" t="s">
        <v>24</v>
      </c>
      <c r="C45" t="s">
        <v>35</v>
      </c>
      <c r="D45" t="s">
        <v>120</v>
      </c>
      <c r="E45" t="s">
        <v>116</v>
      </c>
      <c r="F45" t="s">
        <v>132</v>
      </c>
      <c r="G45" t="s">
        <v>122</v>
      </c>
    </row>
    <row r="46" spans="1:7">
      <c r="A46">
        <v>46090</v>
      </c>
      <c r="B46" t="s">
        <v>119</v>
      </c>
      <c r="C46" t="s">
        <v>17</v>
      </c>
      <c r="D46" t="s">
        <v>124</v>
      </c>
      <c r="E46" t="s">
        <v>112</v>
      </c>
      <c r="F46" t="s">
        <v>127</v>
      </c>
      <c r="G46" t="s">
        <v>126</v>
      </c>
    </row>
    <row r="47" spans="1:7">
      <c r="A47">
        <v>46089</v>
      </c>
      <c r="B47" t="s">
        <v>23</v>
      </c>
      <c r="C47" t="s">
        <v>25</v>
      </c>
      <c r="D47" t="s">
        <v>124</v>
      </c>
      <c r="E47" t="s">
        <v>85</v>
      </c>
      <c r="F47" t="s">
        <v>127</v>
      </c>
      <c r="G47" t="s">
        <v>126</v>
      </c>
    </row>
    <row r="48" spans="1:7">
      <c r="A48">
        <v>46090</v>
      </c>
      <c r="B48" t="s">
        <v>23</v>
      </c>
      <c r="C48" t="s">
        <v>25</v>
      </c>
      <c r="D48" t="s">
        <v>115</v>
      </c>
      <c r="E48" t="s">
        <v>116</v>
      </c>
      <c r="F48" t="s">
        <v>141</v>
      </c>
      <c r="G48" t="s">
        <v>118</v>
      </c>
    </row>
    <row r="49" spans="1:7">
      <c r="A49">
        <v>46094</v>
      </c>
      <c r="B49" t="s">
        <v>110</v>
      </c>
      <c r="C49" t="s">
        <v>21</v>
      </c>
      <c r="D49" t="s">
        <v>120</v>
      </c>
      <c r="E49" t="s">
        <v>116</v>
      </c>
      <c r="F49" t="s">
        <v>121</v>
      </c>
      <c r="G49" t="s">
        <v>122</v>
      </c>
    </row>
    <row r="50" spans="1:7">
      <c r="A50">
        <v>46096</v>
      </c>
      <c r="B50" t="s">
        <v>110</v>
      </c>
      <c r="C50" t="s">
        <v>21</v>
      </c>
      <c r="D50" t="s">
        <v>134</v>
      </c>
      <c r="E50" t="s">
        <v>116</v>
      </c>
      <c r="F50" t="s">
        <v>135</v>
      </c>
      <c r="G50" t="s">
        <v>136</v>
      </c>
    </row>
    <row r="51" spans="1:7">
      <c r="A51">
        <v>46036</v>
      </c>
      <c r="B51" t="s">
        <v>110</v>
      </c>
      <c r="C51" t="s">
        <v>25</v>
      </c>
      <c r="D51" t="s">
        <v>124</v>
      </c>
      <c r="E51" t="s">
        <v>85</v>
      </c>
      <c r="F51" t="s">
        <v>125</v>
      </c>
      <c r="G51" t="s">
        <v>126</v>
      </c>
    </row>
    <row r="52" spans="1:7">
      <c r="A52">
        <v>46043</v>
      </c>
      <c r="B52" t="s">
        <v>23</v>
      </c>
      <c r="C52" t="s">
        <v>25</v>
      </c>
      <c r="D52" t="s">
        <v>115</v>
      </c>
      <c r="E52" t="s">
        <v>116</v>
      </c>
      <c r="F52" t="s">
        <v>143</v>
      </c>
      <c r="G52" t="s">
        <v>118</v>
      </c>
    </row>
    <row r="53" spans="1:7">
      <c r="A53">
        <v>46063</v>
      </c>
      <c r="B53" t="s">
        <v>119</v>
      </c>
      <c r="C53" t="s">
        <v>35</v>
      </c>
      <c r="D53" t="s">
        <v>115</v>
      </c>
      <c r="E53" t="s">
        <v>116</v>
      </c>
      <c r="F53" t="s">
        <v>143</v>
      </c>
      <c r="G53" t="s">
        <v>118</v>
      </c>
    </row>
    <row r="54" spans="1:7">
      <c r="A54">
        <v>46104</v>
      </c>
      <c r="B54" t="s">
        <v>138</v>
      </c>
      <c r="C54" t="s">
        <v>25</v>
      </c>
      <c r="D54" t="s">
        <v>111</v>
      </c>
      <c r="E54" t="s">
        <v>112</v>
      </c>
      <c r="F54" t="s">
        <v>113</v>
      </c>
      <c r="G54" t="s">
        <v>114</v>
      </c>
    </row>
    <row r="55" spans="1:7">
      <c r="A55">
        <v>46095</v>
      </c>
      <c r="B55" t="s">
        <v>110</v>
      </c>
      <c r="C55" t="s">
        <v>21</v>
      </c>
      <c r="D55" t="s">
        <v>115</v>
      </c>
      <c r="E55" t="s">
        <v>116</v>
      </c>
      <c r="F55" t="s">
        <v>117</v>
      </c>
      <c r="G55" t="s">
        <v>118</v>
      </c>
    </row>
    <row r="56" spans="1:7">
      <c r="A56">
        <v>46055</v>
      </c>
      <c r="B56" t="s">
        <v>110</v>
      </c>
      <c r="C56" t="s">
        <v>25</v>
      </c>
      <c r="D56" t="s">
        <v>111</v>
      </c>
      <c r="E56" t="s">
        <v>112</v>
      </c>
      <c r="F56" t="s">
        <v>139</v>
      </c>
      <c r="G56" t="s">
        <v>114</v>
      </c>
    </row>
    <row r="57" spans="1:7">
      <c r="A57">
        <v>46023</v>
      </c>
      <c r="B57" t="s">
        <v>119</v>
      </c>
      <c r="C57" t="s">
        <v>25</v>
      </c>
      <c r="D57" t="s">
        <v>120</v>
      </c>
      <c r="E57" t="s">
        <v>116</v>
      </c>
      <c r="F57" t="s">
        <v>121</v>
      </c>
      <c r="G57" t="s">
        <v>122</v>
      </c>
    </row>
    <row r="58" spans="1:7">
      <c r="A58">
        <v>46040</v>
      </c>
      <c r="B58" t="s">
        <v>119</v>
      </c>
      <c r="C58" t="s">
        <v>32</v>
      </c>
      <c r="D58" t="s">
        <v>128</v>
      </c>
      <c r="E58" t="s">
        <v>85</v>
      </c>
      <c r="F58" t="s">
        <v>144</v>
      </c>
      <c r="G58" t="s">
        <v>130</v>
      </c>
    </row>
    <row r="59" spans="1:7">
      <c r="A59">
        <v>46063</v>
      </c>
      <c r="B59" t="s">
        <v>138</v>
      </c>
      <c r="C59" t="s">
        <v>35</v>
      </c>
      <c r="D59" t="s">
        <v>124</v>
      </c>
      <c r="E59" t="s">
        <v>116</v>
      </c>
      <c r="F59" t="s">
        <v>125</v>
      </c>
      <c r="G59" t="s">
        <v>126</v>
      </c>
    </row>
    <row r="60" spans="1:7">
      <c r="A60">
        <v>46088</v>
      </c>
      <c r="B60" t="s">
        <v>23</v>
      </c>
      <c r="C60" t="s">
        <v>17</v>
      </c>
      <c r="D60" t="s">
        <v>115</v>
      </c>
      <c r="E60" t="s">
        <v>116</v>
      </c>
      <c r="F60" t="s">
        <v>141</v>
      </c>
      <c r="G60" t="s">
        <v>118</v>
      </c>
    </row>
    <row r="61" spans="1:7">
      <c r="A61">
        <v>46081</v>
      </c>
      <c r="B61" t="s">
        <v>31</v>
      </c>
      <c r="C61" t="s">
        <v>25</v>
      </c>
      <c r="D61" t="s">
        <v>134</v>
      </c>
      <c r="E61" t="s">
        <v>116</v>
      </c>
      <c r="F61" t="s">
        <v>145</v>
      </c>
      <c r="G61" t="s">
        <v>136</v>
      </c>
    </row>
    <row r="62" spans="1:7">
      <c r="A62">
        <v>46054</v>
      </c>
      <c r="B62" t="s">
        <v>24</v>
      </c>
      <c r="C62" t="s">
        <v>25</v>
      </c>
      <c r="D62" t="s">
        <v>124</v>
      </c>
      <c r="E62" t="s">
        <v>116</v>
      </c>
      <c r="F62" t="s">
        <v>125</v>
      </c>
      <c r="G62" t="s">
        <v>126</v>
      </c>
    </row>
    <row r="63" spans="1:7">
      <c r="A63">
        <v>46050</v>
      </c>
      <c r="B63" t="s">
        <v>138</v>
      </c>
      <c r="C63" t="s">
        <v>25</v>
      </c>
      <c r="D63" t="s">
        <v>120</v>
      </c>
      <c r="E63" t="s">
        <v>116</v>
      </c>
      <c r="F63" t="s">
        <v>132</v>
      </c>
      <c r="G63" t="s">
        <v>122</v>
      </c>
    </row>
    <row r="64" spans="1:7">
      <c r="A64">
        <v>46045</v>
      </c>
      <c r="B64" t="s">
        <v>138</v>
      </c>
      <c r="C64" t="s">
        <v>21</v>
      </c>
      <c r="D64" t="s">
        <v>115</v>
      </c>
      <c r="E64" t="s">
        <v>116</v>
      </c>
      <c r="F64" t="s">
        <v>141</v>
      </c>
      <c r="G64" t="s">
        <v>118</v>
      </c>
    </row>
    <row r="65" spans="1:7">
      <c r="A65">
        <v>46099</v>
      </c>
      <c r="B65" t="s">
        <v>24</v>
      </c>
      <c r="C65" t="s">
        <v>21</v>
      </c>
      <c r="D65" t="s">
        <v>115</v>
      </c>
      <c r="E65" t="s">
        <v>116</v>
      </c>
      <c r="F65" t="s">
        <v>117</v>
      </c>
      <c r="G65" t="s">
        <v>118</v>
      </c>
    </row>
    <row r="66" spans="1:7">
      <c r="A66">
        <v>46071</v>
      </c>
      <c r="B66" t="s">
        <v>123</v>
      </c>
      <c r="C66" t="s">
        <v>25</v>
      </c>
      <c r="D66" t="s">
        <v>124</v>
      </c>
      <c r="E66" t="s">
        <v>112</v>
      </c>
      <c r="F66" t="s">
        <v>131</v>
      </c>
      <c r="G66" t="s">
        <v>126</v>
      </c>
    </row>
    <row r="67" spans="1:7">
      <c r="A67">
        <v>46076</v>
      </c>
      <c r="B67" t="s">
        <v>123</v>
      </c>
      <c r="C67" t="s">
        <v>25</v>
      </c>
      <c r="D67" t="s">
        <v>107</v>
      </c>
      <c r="E67" t="s">
        <v>112</v>
      </c>
      <c r="F67" t="s">
        <v>108</v>
      </c>
      <c r="G67" t="s">
        <v>109</v>
      </c>
    </row>
    <row r="68" spans="1:7">
      <c r="A68">
        <v>46100</v>
      </c>
      <c r="B68" t="s">
        <v>138</v>
      </c>
      <c r="C68" t="s">
        <v>25</v>
      </c>
      <c r="D68" t="s">
        <v>107</v>
      </c>
      <c r="E68" t="s">
        <v>85</v>
      </c>
      <c r="F68" t="s">
        <v>146</v>
      </c>
      <c r="G68" t="s">
        <v>109</v>
      </c>
    </row>
    <row r="69" spans="1:7">
      <c r="A69">
        <v>46090</v>
      </c>
      <c r="B69" t="s">
        <v>31</v>
      </c>
      <c r="C69" t="s">
        <v>25</v>
      </c>
      <c r="D69" t="s">
        <v>124</v>
      </c>
      <c r="E69" t="s">
        <v>85</v>
      </c>
      <c r="F69" t="s">
        <v>125</v>
      </c>
      <c r="G69" t="s">
        <v>126</v>
      </c>
    </row>
    <row r="70" spans="1:7">
      <c r="A70">
        <v>46051</v>
      </c>
      <c r="B70" t="s">
        <v>110</v>
      </c>
      <c r="C70" t="s">
        <v>32</v>
      </c>
      <c r="D70" t="s">
        <v>124</v>
      </c>
      <c r="E70" t="s">
        <v>85</v>
      </c>
      <c r="F70" t="s">
        <v>125</v>
      </c>
      <c r="G70" t="s">
        <v>126</v>
      </c>
    </row>
    <row r="71" spans="1:7">
      <c r="A71">
        <v>46096</v>
      </c>
      <c r="B71" t="s">
        <v>31</v>
      </c>
      <c r="C71" t="s">
        <v>25</v>
      </c>
      <c r="D71" t="s">
        <v>115</v>
      </c>
      <c r="E71" t="s">
        <v>116</v>
      </c>
      <c r="F71" t="s">
        <v>143</v>
      </c>
      <c r="G71" t="s">
        <v>118</v>
      </c>
    </row>
    <row r="72" spans="1:7">
      <c r="A72">
        <v>46041</v>
      </c>
      <c r="B72" t="s">
        <v>23</v>
      </c>
      <c r="C72" t="s">
        <v>21</v>
      </c>
      <c r="D72" t="s">
        <v>124</v>
      </c>
      <c r="E72" t="s">
        <v>112</v>
      </c>
      <c r="F72" t="s">
        <v>125</v>
      </c>
      <c r="G72" t="s">
        <v>126</v>
      </c>
    </row>
    <row r="73" spans="1:7">
      <c r="A73">
        <v>46074</v>
      </c>
      <c r="B73" t="s">
        <v>110</v>
      </c>
      <c r="C73" t="s">
        <v>25</v>
      </c>
      <c r="D73" t="s">
        <v>134</v>
      </c>
      <c r="E73" t="s">
        <v>116</v>
      </c>
      <c r="F73" t="s">
        <v>145</v>
      </c>
      <c r="G73" t="s">
        <v>136</v>
      </c>
    </row>
    <row r="74" spans="1:7">
      <c r="A74">
        <v>46039</v>
      </c>
      <c r="B74" t="s">
        <v>110</v>
      </c>
      <c r="C74" t="s">
        <v>25</v>
      </c>
      <c r="D74" t="s">
        <v>120</v>
      </c>
      <c r="E74" t="s">
        <v>116</v>
      </c>
      <c r="F74" t="s">
        <v>132</v>
      </c>
      <c r="G74" t="s">
        <v>122</v>
      </c>
    </row>
    <row r="75" spans="1:7">
      <c r="A75">
        <v>46073</v>
      </c>
      <c r="B75" t="s">
        <v>31</v>
      </c>
      <c r="C75" t="s">
        <v>25</v>
      </c>
      <c r="D75" t="s">
        <v>115</v>
      </c>
      <c r="E75" t="s">
        <v>116</v>
      </c>
      <c r="F75" t="s">
        <v>117</v>
      </c>
      <c r="G75" t="s">
        <v>118</v>
      </c>
    </row>
    <row r="76" spans="1:7">
      <c r="A76">
        <v>46090</v>
      </c>
      <c r="B76" t="s">
        <v>24</v>
      </c>
      <c r="C76" t="s">
        <v>25</v>
      </c>
      <c r="D76" t="s">
        <v>134</v>
      </c>
      <c r="E76" t="s">
        <v>116</v>
      </c>
      <c r="F76" t="s">
        <v>135</v>
      </c>
      <c r="G76" t="s">
        <v>136</v>
      </c>
    </row>
    <row r="77" spans="1:7">
      <c r="A77">
        <v>46064</v>
      </c>
      <c r="B77" t="s">
        <v>23</v>
      </c>
      <c r="C77" t="s">
        <v>17</v>
      </c>
      <c r="D77" t="s">
        <v>120</v>
      </c>
      <c r="E77" t="s">
        <v>116</v>
      </c>
      <c r="F77" t="s">
        <v>121</v>
      </c>
      <c r="G77" t="s">
        <v>122</v>
      </c>
    </row>
    <row r="78" spans="1:7">
      <c r="A78">
        <v>46075</v>
      </c>
      <c r="B78" t="s">
        <v>119</v>
      </c>
      <c r="C78" t="s">
        <v>25</v>
      </c>
      <c r="D78" t="s">
        <v>111</v>
      </c>
      <c r="E78" t="s">
        <v>112</v>
      </c>
      <c r="F78" t="s">
        <v>139</v>
      </c>
      <c r="G78" t="s">
        <v>114</v>
      </c>
    </row>
    <row r="79" spans="1:7">
      <c r="A79">
        <v>46099</v>
      </c>
      <c r="B79" t="s">
        <v>123</v>
      </c>
      <c r="C79" t="s">
        <v>25</v>
      </c>
      <c r="D79" t="s">
        <v>115</v>
      </c>
      <c r="E79" t="s">
        <v>116</v>
      </c>
      <c r="F79" t="s">
        <v>143</v>
      </c>
      <c r="G79" t="s">
        <v>118</v>
      </c>
    </row>
    <row r="80" spans="1:7">
      <c r="A80">
        <v>46101</v>
      </c>
      <c r="B80" t="s">
        <v>123</v>
      </c>
      <c r="C80" t="s">
        <v>25</v>
      </c>
      <c r="D80" t="s">
        <v>120</v>
      </c>
      <c r="E80" t="s">
        <v>116</v>
      </c>
      <c r="F80" t="s">
        <v>133</v>
      </c>
      <c r="G80" t="s">
        <v>122</v>
      </c>
    </row>
    <row r="81" spans="1:7">
      <c r="A81">
        <v>46079</v>
      </c>
      <c r="B81" t="s">
        <v>31</v>
      </c>
      <c r="C81" t="s">
        <v>21</v>
      </c>
      <c r="D81" t="s">
        <v>124</v>
      </c>
      <c r="E81" t="s">
        <v>116</v>
      </c>
      <c r="F81" t="s">
        <v>127</v>
      </c>
      <c r="G81" t="s">
        <v>126</v>
      </c>
    </row>
    <row r="82" spans="1:7">
      <c r="A82">
        <v>46033</v>
      </c>
      <c r="B82" t="s">
        <v>23</v>
      </c>
      <c r="C82" t="s">
        <v>32</v>
      </c>
      <c r="D82" t="s">
        <v>124</v>
      </c>
      <c r="E82" t="s">
        <v>112</v>
      </c>
      <c r="F82" t="s">
        <v>131</v>
      </c>
      <c r="G82" t="s">
        <v>126</v>
      </c>
    </row>
    <row r="83" spans="1:7">
      <c r="A83">
        <v>46024</v>
      </c>
      <c r="B83" t="s">
        <v>123</v>
      </c>
      <c r="C83" t="s">
        <v>17</v>
      </c>
      <c r="D83" t="s">
        <v>134</v>
      </c>
      <c r="E83" t="s">
        <v>116</v>
      </c>
      <c r="F83" t="s">
        <v>135</v>
      </c>
      <c r="G83" t="s">
        <v>136</v>
      </c>
    </row>
    <row r="84" spans="1:7">
      <c r="A84">
        <v>46083</v>
      </c>
      <c r="B84" t="s">
        <v>23</v>
      </c>
      <c r="C84" t="s">
        <v>25</v>
      </c>
      <c r="D84" t="s">
        <v>124</v>
      </c>
      <c r="E84" t="s">
        <v>85</v>
      </c>
      <c r="F84" t="s">
        <v>125</v>
      </c>
      <c r="G84" t="s">
        <v>126</v>
      </c>
    </row>
    <row r="85" spans="1:7">
      <c r="A85">
        <v>46089</v>
      </c>
      <c r="B85" t="s">
        <v>23</v>
      </c>
      <c r="C85" t="s">
        <v>25</v>
      </c>
      <c r="D85" t="s">
        <v>120</v>
      </c>
      <c r="E85" t="s">
        <v>116</v>
      </c>
      <c r="F85" t="s">
        <v>121</v>
      </c>
      <c r="G85" t="s">
        <v>122</v>
      </c>
    </row>
    <row r="86" spans="1:7">
      <c r="A86">
        <v>46041</v>
      </c>
      <c r="B86" t="s">
        <v>138</v>
      </c>
      <c r="C86" t="s">
        <v>17</v>
      </c>
      <c r="D86" t="s">
        <v>120</v>
      </c>
      <c r="E86" t="s">
        <v>116</v>
      </c>
      <c r="F86" t="s">
        <v>121</v>
      </c>
      <c r="G86" t="s">
        <v>122</v>
      </c>
    </row>
    <row r="87" spans="1:7">
      <c r="A87">
        <v>46107</v>
      </c>
      <c r="B87" t="s">
        <v>119</v>
      </c>
      <c r="C87" t="s">
        <v>17</v>
      </c>
      <c r="D87" t="s">
        <v>115</v>
      </c>
      <c r="E87" t="s">
        <v>116</v>
      </c>
      <c r="F87" t="s">
        <v>143</v>
      </c>
      <c r="G87" t="s">
        <v>118</v>
      </c>
    </row>
    <row r="88" spans="1:7">
      <c r="A88">
        <v>46048</v>
      </c>
      <c r="B88" t="s">
        <v>23</v>
      </c>
      <c r="C88" t="s">
        <v>25</v>
      </c>
      <c r="D88" t="s">
        <v>120</v>
      </c>
      <c r="E88" t="s">
        <v>116</v>
      </c>
      <c r="F88" t="s">
        <v>132</v>
      </c>
      <c r="G88" t="s">
        <v>122</v>
      </c>
    </row>
    <row r="89" spans="1:7">
      <c r="A89">
        <v>46106</v>
      </c>
      <c r="B89" t="s">
        <v>138</v>
      </c>
      <c r="C89" t="s">
        <v>25</v>
      </c>
      <c r="D89" t="s">
        <v>107</v>
      </c>
      <c r="E89" t="s">
        <v>112</v>
      </c>
      <c r="F89" t="s">
        <v>108</v>
      </c>
      <c r="G89" t="s">
        <v>109</v>
      </c>
    </row>
    <row r="90" spans="1:7">
      <c r="A90">
        <v>46069</v>
      </c>
      <c r="B90" t="s">
        <v>123</v>
      </c>
      <c r="C90" t="s">
        <v>35</v>
      </c>
      <c r="D90" t="s">
        <v>107</v>
      </c>
      <c r="E90" t="s">
        <v>112</v>
      </c>
      <c r="F90" t="s">
        <v>146</v>
      </c>
      <c r="G90" t="s">
        <v>109</v>
      </c>
    </row>
    <row r="91" spans="1:7">
      <c r="A91">
        <v>46052</v>
      </c>
      <c r="B91" t="s">
        <v>138</v>
      </c>
      <c r="C91" t="s">
        <v>17</v>
      </c>
      <c r="D91" t="s">
        <v>128</v>
      </c>
      <c r="E91" t="s">
        <v>85</v>
      </c>
      <c r="F91" t="s">
        <v>137</v>
      </c>
      <c r="G91" t="s">
        <v>130</v>
      </c>
    </row>
    <row r="92" spans="1:7">
      <c r="A92">
        <v>46085</v>
      </c>
      <c r="B92" t="s">
        <v>31</v>
      </c>
      <c r="C92" t="s">
        <v>25</v>
      </c>
      <c r="D92" t="s">
        <v>107</v>
      </c>
      <c r="E92" t="s">
        <v>85</v>
      </c>
      <c r="F92" t="s">
        <v>146</v>
      </c>
      <c r="G92" t="s">
        <v>109</v>
      </c>
    </row>
    <row r="93" spans="1:7">
      <c r="A93">
        <v>46094</v>
      </c>
      <c r="B93" t="s">
        <v>31</v>
      </c>
      <c r="C93" t="s">
        <v>32</v>
      </c>
      <c r="D93" t="s">
        <v>107</v>
      </c>
      <c r="E93" t="s">
        <v>112</v>
      </c>
      <c r="F93" t="s">
        <v>146</v>
      </c>
      <c r="G93" t="s">
        <v>109</v>
      </c>
    </row>
    <row r="94" spans="1:7">
      <c r="A94">
        <v>46065</v>
      </c>
      <c r="B94" t="s">
        <v>138</v>
      </c>
      <c r="C94" t="s">
        <v>17</v>
      </c>
      <c r="D94" t="s">
        <v>115</v>
      </c>
      <c r="E94" t="s">
        <v>116</v>
      </c>
      <c r="F94" t="s">
        <v>143</v>
      </c>
      <c r="G94" t="s">
        <v>118</v>
      </c>
    </row>
    <row r="95" spans="1:7">
      <c r="A95">
        <v>46110</v>
      </c>
      <c r="B95" t="s">
        <v>138</v>
      </c>
      <c r="C95" t="s">
        <v>25</v>
      </c>
      <c r="D95" t="s">
        <v>134</v>
      </c>
      <c r="E95" t="s">
        <v>116</v>
      </c>
      <c r="F95" t="s">
        <v>145</v>
      </c>
      <c r="G95" t="s">
        <v>136</v>
      </c>
    </row>
    <row r="96" spans="1:7">
      <c r="A96">
        <v>46058</v>
      </c>
      <c r="B96" t="s">
        <v>138</v>
      </c>
      <c r="C96" t="s">
        <v>25</v>
      </c>
      <c r="D96" t="s">
        <v>120</v>
      </c>
      <c r="E96" t="s">
        <v>116</v>
      </c>
      <c r="F96" t="s">
        <v>132</v>
      </c>
      <c r="G96" t="s">
        <v>122</v>
      </c>
    </row>
    <row r="97" spans="1:7">
      <c r="A97">
        <v>46026</v>
      </c>
      <c r="B97" t="s">
        <v>31</v>
      </c>
      <c r="C97" t="s">
        <v>17</v>
      </c>
      <c r="D97" t="s">
        <v>107</v>
      </c>
      <c r="E97" t="s">
        <v>116</v>
      </c>
      <c r="F97" t="s">
        <v>146</v>
      </c>
      <c r="G97" t="s">
        <v>109</v>
      </c>
    </row>
    <row r="98" spans="1:7">
      <c r="A98">
        <v>46107</v>
      </c>
      <c r="B98" t="s">
        <v>23</v>
      </c>
      <c r="C98" t="s">
        <v>32</v>
      </c>
      <c r="D98" t="s">
        <v>124</v>
      </c>
      <c r="E98" t="s">
        <v>85</v>
      </c>
      <c r="F98" t="s">
        <v>125</v>
      </c>
      <c r="G98" t="s">
        <v>126</v>
      </c>
    </row>
    <row r="99" spans="1:7">
      <c r="A99">
        <v>46103</v>
      </c>
      <c r="B99" t="s">
        <v>110</v>
      </c>
      <c r="C99" t="s">
        <v>25</v>
      </c>
      <c r="D99" t="s">
        <v>120</v>
      </c>
      <c r="E99" t="s">
        <v>116</v>
      </c>
      <c r="F99" t="s">
        <v>133</v>
      </c>
      <c r="G99" t="s">
        <v>122</v>
      </c>
    </row>
    <row r="100" spans="1:7">
      <c r="A100">
        <v>46077</v>
      </c>
      <c r="B100" t="s">
        <v>119</v>
      </c>
      <c r="C100" t="s">
        <v>25</v>
      </c>
      <c r="D100" t="s">
        <v>128</v>
      </c>
      <c r="E100" t="s">
        <v>116</v>
      </c>
      <c r="F100" t="s">
        <v>144</v>
      </c>
      <c r="G100" t="s">
        <v>130</v>
      </c>
    </row>
    <row r="101" spans="1:7">
      <c r="A101">
        <v>46049</v>
      </c>
      <c r="B101" t="s">
        <v>23</v>
      </c>
      <c r="C101" t="s">
        <v>25</v>
      </c>
      <c r="D101" t="s">
        <v>115</v>
      </c>
      <c r="E101" t="s">
        <v>116</v>
      </c>
      <c r="F101" t="s">
        <v>141</v>
      </c>
      <c r="G101" t="s">
        <v>118</v>
      </c>
    </row>
    <row r="102" spans="1:7">
      <c r="A102">
        <v>46040</v>
      </c>
      <c r="B102" t="s">
        <v>138</v>
      </c>
      <c r="C102" t="s">
        <v>35</v>
      </c>
      <c r="D102" t="s">
        <v>134</v>
      </c>
      <c r="E102" t="s">
        <v>116</v>
      </c>
      <c r="F102" t="s">
        <v>142</v>
      </c>
      <c r="G102" t="s">
        <v>136</v>
      </c>
    </row>
    <row r="103" spans="1:7">
      <c r="A103">
        <v>46078</v>
      </c>
      <c r="B103" t="s">
        <v>31</v>
      </c>
      <c r="C103" t="s">
        <v>25</v>
      </c>
      <c r="D103" t="s">
        <v>128</v>
      </c>
      <c r="E103" t="s">
        <v>116</v>
      </c>
      <c r="F103" t="s">
        <v>129</v>
      </c>
      <c r="G103" t="s">
        <v>130</v>
      </c>
    </row>
    <row r="104" spans="1:7">
      <c r="A104">
        <v>46043</v>
      </c>
      <c r="B104" t="s">
        <v>23</v>
      </c>
      <c r="C104" t="s">
        <v>25</v>
      </c>
      <c r="D104" t="s">
        <v>134</v>
      </c>
      <c r="E104" t="s">
        <v>116</v>
      </c>
      <c r="F104" t="s">
        <v>145</v>
      </c>
      <c r="G104" t="s">
        <v>136</v>
      </c>
    </row>
    <row r="105" spans="1:7">
      <c r="A105">
        <v>46038</v>
      </c>
      <c r="B105" t="s">
        <v>31</v>
      </c>
      <c r="C105" t="s">
        <v>21</v>
      </c>
      <c r="D105" t="s">
        <v>124</v>
      </c>
      <c r="E105" t="s">
        <v>116</v>
      </c>
      <c r="F105" t="s">
        <v>131</v>
      </c>
      <c r="G105" t="s">
        <v>126</v>
      </c>
    </row>
    <row r="106" spans="1:7">
      <c r="A106">
        <v>46075</v>
      </c>
      <c r="B106" t="s">
        <v>138</v>
      </c>
      <c r="C106" t="s">
        <v>32</v>
      </c>
      <c r="D106" t="s">
        <v>128</v>
      </c>
      <c r="E106" t="s">
        <v>85</v>
      </c>
      <c r="F106" t="s">
        <v>129</v>
      </c>
      <c r="G106" t="s">
        <v>130</v>
      </c>
    </row>
    <row r="107" spans="1:7">
      <c r="A107">
        <v>46058</v>
      </c>
      <c r="B107" t="s">
        <v>31</v>
      </c>
      <c r="C107" t="s">
        <v>25</v>
      </c>
      <c r="D107" t="s">
        <v>124</v>
      </c>
      <c r="E107" t="s">
        <v>85</v>
      </c>
      <c r="F107" t="s">
        <v>125</v>
      </c>
      <c r="G107" t="s">
        <v>126</v>
      </c>
    </row>
    <row r="108" spans="1:7">
      <c r="A108">
        <v>46101</v>
      </c>
      <c r="B108" t="s">
        <v>23</v>
      </c>
      <c r="C108" t="s">
        <v>25</v>
      </c>
      <c r="D108" t="s">
        <v>134</v>
      </c>
      <c r="E108" t="s">
        <v>116</v>
      </c>
      <c r="F108" t="s">
        <v>145</v>
      </c>
      <c r="G108" t="s">
        <v>136</v>
      </c>
    </row>
    <row r="109" spans="1:7">
      <c r="A109">
        <v>46052</v>
      </c>
      <c r="B109" t="s">
        <v>24</v>
      </c>
      <c r="C109" t="s">
        <v>21</v>
      </c>
      <c r="D109" t="s">
        <v>124</v>
      </c>
      <c r="E109" t="s">
        <v>112</v>
      </c>
      <c r="F109" t="s">
        <v>131</v>
      </c>
      <c r="G109" t="s">
        <v>126</v>
      </c>
    </row>
    <row r="110" spans="1:7">
      <c r="A110">
        <v>46040</v>
      </c>
      <c r="B110" t="s">
        <v>23</v>
      </c>
      <c r="C110" t="s">
        <v>25</v>
      </c>
      <c r="D110" t="s">
        <v>115</v>
      </c>
      <c r="E110" t="s">
        <v>116</v>
      </c>
      <c r="F110" t="s">
        <v>117</v>
      </c>
      <c r="G110" t="s">
        <v>118</v>
      </c>
    </row>
    <row r="111" spans="1:7">
      <c r="A111">
        <v>46070</v>
      </c>
      <c r="B111" t="s">
        <v>110</v>
      </c>
      <c r="C111" t="s">
        <v>17</v>
      </c>
      <c r="D111" t="s">
        <v>124</v>
      </c>
      <c r="E111" t="s">
        <v>85</v>
      </c>
      <c r="F111" t="s">
        <v>127</v>
      </c>
      <c r="G111" t="s">
        <v>126</v>
      </c>
    </row>
    <row r="112" spans="1:7">
      <c r="A112">
        <v>46051</v>
      </c>
      <c r="B112" t="s">
        <v>24</v>
      </c>
      <c r="C112" t="s">
        <v>32</v>
      </c>
      <c r="D112" t="s">
        <v>124</v>
      </c>
      <c r="E112" t="s">
        <v>85</v>
      </c>
      <c r="F112" t="s">
        <v>131</v>
      </c>
      <c r="G112" t="s">
        <v>126</v>
      </c>
    </row>
    <row r="113" spans="1:7">
      <c r="A113">
        <v>46051</v>
      </c>
      <c r="B113" t="s">
        <v>31</v>
      </c>
      <c r="C113" t="s">
        <v>21</v>
      </c>
      <c r="D113" t="s">
        <v>120</v>
      </c>
      <c r="E113" t="s">
        <v>116</v>
      </c>
      <c r="F113" t="s">
        <v>133</v>
      </c>
      <c r="G113" t="s">
        <v>122</v>
      </c>
    </row>
    <row r="114" spans="1:7">
      <c r="A114">
        <v>46045</v>
      </c>
      <c r="B114" t="s">
        <v>123</v>
      </c>
      <c r="C114" t="s">
        <v>25</v>
      </c>
      <c r="D114" t="s">
        <v>107</v>
      </c>
      <c r="E114" t="s">
        <v>116</v>
      </c>
      <c r="F114" t="s">
        <v>108</v>
      </c>
      <c r="G114" t="s">
        <v>109</v>
      </c>
    </row>
    <row r="115" spans="1:7">
      <c r="A115">
        <v>46064</v>
      </c>
      <c r="B115" t="s">
        <v>110</v>
      </c>
      <c r="C115" t="s">
        <v>25</v>
      </c>
      <c r="D115" t="s">
        <v>107</v>
      </c>
      <c r="E115" t="s">
        <v>116</v>
      </c>
      <c r="F115" t="s">
        <v>140</v>
      </c>
      <c r="G115" t="s">
        <v>109</v>
      </c>
    </row>
    <row r="116" spans="1:7">
      <c r="A116">
        <v>46100</v>
      </c>
      <c r="B116" t="s">
        <v>110</v>
      </c>
      <c r="C116" t="s">
        <v>21</v>
      </c>
      <c r="D116" t="s">
        <v>120</v>
      </c>
      <c r="E116" t="s">
        <v>116</v>
      </c>
      <c r="F116" t="s">
        <v>132</v>
      </c>
      <c r="G116" t="s">
        <v>122</v>
      </c>
    </row>
    <row r="117" spans="1:7">
      <c r="A117">
        <v>46101</v>
      </c>
      <c r="B117" t="s">
        <v>23</v>
      </c>
      <c r="C117" t="s">
        <v>25</v>
      </c>
      <c r="D117" t="s">
        <v>107</v>
      </c>
      <c r="E117" t="s">
        <v>85</v>
      </c>
      <c r="F117" t="s">
        <v>108</v>
      </c>
      <c r="G117" t="s">
        <v>109</v>
      </c>
    </row>
    <row r="118" spans="1:7">
      <c r="A118">
        <v>46027</v>
      </c>
      <c r="B118" t="s">
        <v>110</v>
      </c>
      <c r="C118" t="s">
        <v>25</v>
      </c>
      <c r="D118" t="s">
        <v>115</v>
      </c>
      <c r="E118" t="s">
        <v>116</v>
      </c>
      <c r="F118" t="s">
        <v>141</v>
      </c>
      <c r="G118" t="s">
        <v>118</v>
      </c>
    </row>
    <row r="119" spans="1:7">
      <c r="A119">
        <v>46054</v>
      </c>
      <c r="B119" t="s">
        <v>110</v>
      </c>
      <c r="C119" t="s">
        <v>32</v>
      </c>
      <c r="D119" t="s">
        <v>115</v>
      </c>
      <c r="E119" t="s">
        <v>116</v>
      </c>
      <c r="F119" t="s">
        <v>141</v>
      </c>
      <c r="G119" t="s">
        <v>118</v>
      </c>
    </row>
    <row r="120" spans="1:7">
      <c r="A120">
        <v>46094</v>
      </c>
      <c r="B120" t="s">
        <v>123</v>
      </c>
      <c r="C120" t="s">
        <v>25</v>
      </c>
      <c r="D120" t="s">
        <v>111</v>
      </c>
      <c r="E120" t="s">
        <v>112</v>
      </c>
      <c r="F120" t="s">
        <v>113</v>
      </c>
      <c r="G120" t="s">
        <v>114</v>
      </c>
    </row>
    <row r="121" spans="1:7">
      <c r="A121">
        <v>46047</v>
      </c>
      <c r="B121" t="s">
        <v>110</v>
      </c>
      <c r="C121" t="s">
        <v>35</v>
      </c>
      <c r="D121" t="s">
        <v>134</v>
      </c>
      <c r="E121" t="s">
        <v>116</v>
      </c>
      <c r="F121" t="s">
        <v>135</v>
      </c>
      <c r="G121" t="s">
        <v>136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defaultColWidth="8.8125" defaultRowHeight="13.5"/>
  <cols>
    <col min="1" max="1" width="26.5" customWidth="1"/>
    <col min="2" max="2" width="16.5" customWidth="1"/>
    <col min="3" max="3" width="25.1875" customWidth="1"/>
    <col min="4" max="4" width="22.3125" customWidth="1"/>
    <col min="5" max="5" width="23.5" customWidth="1"/>
    <col min="6" max="6" width="45" customWidth="1"/>
  </cols>
  <sheetData>
    <row r="1" spans="1:6" ht="13.9">
      <c r="A1" s="6" t="s">
        <v>147</v>
      </c>
      <c r="B1" s="8" t="s">
        <v>148</v>
      </c>
      <c r="C1" s="8" t="s">
        <v>149</v>
      </c>
      <c r="D1" s="8" t="s">
        <v>150</v>
      </c>
      <c r="E1" s="8" t="s">
        <v>151</v>
      </c>
      <c r="F1" s="6" t="s">
        <v>152</v>
      </c>
    </row>
    <row r="2" spans="1:6">
      <c r="A2" t="s">
        <v>153</v>
      </c>
      <c r="B2">
        <v>0.35</v>
      </c>
      <c r="C2">
        <v>0.42</v>
      </c>
      <c r="D2">
        <v>0.3</v>
      </c>
      <c r="E2">
        <v>0.5</v>
      </c>
      <c r="F2" t="s">
        <v>154</v>
      </c>
    </row>
    <row r="3" spans="1:6">
      <c r="A3" t="s">
        <v>155</v>
      </c>
      <c r="B3" s="11">
        <f>SUM(Campaign_Performance!I:I)/SUM(Campaign_Performance!G:G)</f>
        <v>2.6599609897885033E-2</v>
      </c>
      <c r="C3">
        <v>3.2000000000000001E-2</v>
      </c>
      <c r="D3">
        <v>0.02</v>
      </c>
      <c r="E3">
        <v>4.4999999999999998E-2</v>
      </c>
      <c r="F3" t="s">
        <v>156</v>
      </c>
    </row>
    <row r="4" spans="1:6">
      <c r="A4" t="s">
        <v>157</v>
      </c>
      <c r="B4" s="11">
        <f>SUM(Campaign_Performance!H:H)/SUM(Campaign_Performance!G:G)</f>
        <v>4.6223276092859603E-2</v>
      </c>
      <c r="C4">
        <v>7.0000000000000007E-2</v>
      </c>
      <c r="D4">
        <v>3.5000000000000003E-2</v>
      </c>
      <c r="E4">
        <v>0.08</v>
      </c>
      <c r="F4" t="s">
        <v>156</v>
      </c>
    </row>
    <row r="5" spans="1:6">
      <c r="A5" t="s">
        <v>158</v>
      </c>
      <c r="B5" s="11">
        <f>SUM(Campaign_Performance!J:J)/SUM(Campaign_Performance!I:I)</f>
        <v>5.8950395398993528E-2</v>
      </c>
      <c r="C5">
        <v>9.5000000000000001E-2</v>
      </c>
      <c r="D5">
        <v>0.05</v>
      </c>
      <c r="E5">
        <v>0.12</v>
      </c>
      <c r="F5" t="s">
        <v>159</v>
      </c>
    </row>
    <row r="6" spans="1:6">
      <c r="A6" t="s">
        <v>160</v>
      </c>
      <c r="B6" s="10">
        <f>SUM(Campaign_Performance!K:K)/SUM(Campaign_Performance!J:J)</f>
        <v>344.76890243902437</v>
      </c>
      <c r="C6" s="10">
        <v>145</v>
      </c>
      <c r="D6" s="10">
        <v>220</v>
      </c>
      <c r="E6" s="10">
        <v>100</v>
      </c>
      <c r="F6" t="s">
        <v>161</v>
      </c>
    </row>
    <row r="7" spans="1:6">
      <c r="A7" t="s">
        <v>51</v>
      </c>
      <c r="B7">
        <v>3</v>
      </c>
      <c r="C7">
        <v>3.6</v>
      </c>
      <c r="D7">
        <v>2.8</v>
      </c>
      <c r="E7">
        <v>4</v>
      </c>
      <c r="F7" t="s">
        <v>162</v>
      </c>
    </row>
    <row r="8" spans="1:6">
      <c r="A8" t="s">
        <v>163</v>
      </c>
      <c r="B8" s="11">
        <f>COUNTIF(Feedback_Log!E:E,"Negative")/COUNTA(Feedback_Log!E:E)</f>
        <v>0.5950413223140496</v>
      </c>
      <c r="C8">
        <v>0.22</v>
      </c>
      <c r="D8">
        <v>0.3</v>
      </c>
      <c r="E8">
        <v>0.15</v>
      </c>
      <c r="F8" t="s">
        <v>164</v>
      </c>
    </row>
    <row r="9" spans="1:6">
      <c r="A9" t="s">
        <v>165</v>
      </c>
      <c r="B9" s="11">
        <f>SUMIFS(Campaign_Performance!J:J,Campaign_Performance!C:C,"LinkedIn")/SUMIFS(Campaign_Performance!I:I,Campaign_Performance!C:C,"LinkedIn")</f>
        <v>0.1567773543821448</v>
      </c>
      <c r="C9">
        <v>0.12</v>
      </c>
      <c r="D9">
        <v>7.0000000000000007E-2</v>
      </c>
      <c r="E9">
        <v>0.14000000000000001</v>
      </c>
      <c r="F9" t="s">
        <v>166</v>
      </c>
    </row>
    <row r="10" spans="1:6">
      <c r="A10" t="s">
        <v>167</v>
      </c>
      <c r="B10" s="11">
        <f>SUMIFS(Campaign_Performance!J:J,Campaign_Performance!C:C,"Instagram")/SUMIFS(Campaign_Performance!I:I,Campaign_Performance!C:C,"Instagram")</f>
        <v>1.5146178231771751E-2</v>
      </c>
      <c r="C10">
        <v>2.8000000000000001E-2</v>
      </c>
      <c r="D10">
        <v>0.02</v>
      </c>
      <c r="E10">
        <v>4.4999999999999998E-2</v>
      </c>
      <c r="F10" t="s">
        <v>168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ColWidth="8.8125" defaultRowHeight="13.5"/>
  <cols>
    <col min="1" max="1" width="19.1875" customWidth="1"/>
    <col min="2" max="2" width="15" customWidth="1"/>
    <col min="3" max="3" width="65" customWidth="1"/>
  </cols>
  <sheetData>
    <row r="1" spans="1:3" ht="13.9">
      <c r="A1" s="6" t="s">
        <v>169</v>
      </c>
      <c r="B1" s="6" t="s">
        <v>170</v>
      </c>
      <c r="C1" s="6" t="s">
        <v>171</v>
      </c>
    </row>
    <row r="2" spans="1:3">
      <c r="A2" t="s">
        <v>172</v>
      </c>
      <c r="B2" t="s">
        <v>6</v>
      </c>
      <c r="C2" t="s">
        <v>173</v>
      </c>
    </row>
    <row r="3" spans="1:3">
      <c r="A3" t="s">
        <v>172</v>
      </c>
      <c r="B3" t="s">
        <v>7</v>
      </c>
      <c r="C3" t="s">
        <v>174</v>
      </c>
    </row>
    <row r="4" spans="1:3">
      <c r="A4" t="s">
        <v>172</v>
      </c>
      <c r="B4" t="s">
        <v>8</v>
      </c>
      <c r="C4" t="s">
        <v>175</v>
      </c>
    </row>
    <row r="5" spans="1:3">
      <c r="A5" t="s">
        <v>172</v>
      </c>
      <c r="B5" t="s">
        <v>9</v>
      </c>
      <c r="C5" t="s">
        <v>176</v>
      </c>
    </row>
    <row r="6" spans="1:3">
      <c r="A6" t="s">
        <v>172</v>
      </c>
      <c r="B6" t="s">
        <v>10</v>
      </c>
      <c r="C6" t="s">
        <v>177</v>
      </c>
    </row>
    <row r="7" spans="1:3">
      <c r="A7" t="s">
        <v>172</v>
      </c>
      <c r="B7" t="s">
        <v>11</v>
      </c>
      <c r="C7" t="s">
        <v>178</v>
      </c>
    </row>
    <row r="8" spans="1:3">
      <c r="A8" t="s">
        <v>172</v>
      </c>
      <c r="B8" t="s">
        <v>13</v>
      </c>
      <c r="C8" t="s">
        <v>179</v>
      </c>
    </row>
    <row r="9" spans="1:3">
      <c r="A9" t="s">
        <v>180</v>
      </c>
      <c r="B9" t="s">
        <v>181</v>
      </c>
      <c r="C9" t="s">
        <v>182</v>
      </c>
    </row>
    <row r="10" spans="1:3">
      <c r="A10" t="s">
        <v>183</v>
      </c>
      <c r="B10" t="s">
        <v>77</v>
      </c>
      <c r="C10" t="s">
        <v>184</v>
      </c>
    </row>
    <row r="11" spans="1:3">
      <c r="A11" t="s">
        <v>185</v>
      </c>
      <c r="B11" t="s">
        <v>104</v>
      </c>
      <c r="C11" t="s">
        <v>186</v>
      </c>
    </row>
    <row r="12" spans="1:3">
      <c r="A12" t="s">
        <v>187</v>
      </c>
      <c r="B12" t="s">
        <v>188</v>
      </c>
      <c r="C12" t="s">
        <v>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Campaign_Performance</vt:lpstr>
      <vt:lpstr>Audience_Segments</vt:lpstr>
      <vt:lpstr>Survey_Results</vt:lpstr>
      <vt:lpstr>Feedback_Log</vt:lpstr>
      <vt:lpstr>Benchmarks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Faqihi</dc:creator>
  <cp:lastModifiedBy>ريان  بن احمد فقيهي</cp:lastModifiedBy>
  <dcterms:created xsi:type="dcterms:W3CDTF">2026-05-19T08:15:03Z</dcterms:created>
  <dcterms:modified xsi:type="dcterms:W3CDTF">2026-05-24T21:28:19Z</dcterms:modified>
</cp:coreProperties>
</file>